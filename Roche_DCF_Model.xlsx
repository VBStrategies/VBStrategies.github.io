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s" sheetId="3" state="visible" r:id="rId5"/>
    <sheet name="Operating Model" sheetId="4" state="visible" r:id="rId6"/>
    <sheet name="WACC" sheetId="5" state="visible" r:id="rId7"/>
    <sheet name="DCF" sheetId="6" state="visible" r:id="rId8"/>
    <sheet name="Sensitivity" sheetId="7" state="visible" r:id="rId9"/>
    <sheet name="Char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<sst xmlns="http://schemas.openxmlformats.org/spreadsheetml/2006/main" count="507" uniqueCount="405">
  <si>
    <t xml:space="preserve">F. Hoffmann-La Roche Ltd</t>
  </si>
  <si>
    <t xml:space="preserve">Roche Holding AG  |  SIX: ROP</t>
  </si>
  <si>
    <t xml:space="preserve">Discounted Cash Flow Analysis</t>
  </si>
  <si>
    <t xml:space="preserve">Sources: Roche Annual Reports and Finance Reports 2023–2025; market data as noted on the Assumptions tab.</t>
  </si>
  <si>
    <t xml:space="preserve">Colour legend</t>
  </si>
  <si>
    <t xml:space="preserve">1,234.5</t>
  </si>
  <si>
    <t xml:space="preserve">Blue – hardcoded input (reported figure or assumption)</t>
  </si>
  <si>
    <t xml:space="preserve">Black – formula calculated on the same tab</t>
  </si>
  <si>
    <t xml:space="preserve">Green – formula linking to another tab</t>
  </si>
  <si>
    <t xml:space="preserve">Yellow fill – key output or scenario lever</t>
  </si>
  <si>
    <t xml:space="preserve">Red fill on a check row – model integrity error</t>
  </si>
  <si>
    <t xml:space="preserve">Tabs: Cover · Assumptions · Historicals · Operating Model · WACC · DCF · Sensitivity · Charts</t>
  </si>
  <si>
    <t xml:space="preserve">Assumptions</t>
  </si>
  <si>
    <t xml:space="preserve">All model drivers. Blue = hardcoded input. Change the scenario in cell D4; the Live column feeds the entire model.</t>
  </si>
  <si>
    <t xml:space="preserve">Scenario selector  (1 = Base, 2 = Bull, 3 = Bear)</t>
  </si>
  <si>
    <t xml:space="preserve">Market data &amp; valuation inputs</t>
  </si>
  <si>
    <t xml:space="preserve">Unit</t>
  </si>
  <si>
    <t xml:space="preserve">Value</t>
  </si>
  <si>
    <t xml:space="preserve">Source / comment</t>
  </si>
  <si>
    <t xml:space="preserve">Valuation date</t>
  </si>
  <si>
    <t xml:space="preserve">date</t>
  </si>
  <si>
    <t xml:space="preserve">User-specified valuation date</t>
  </si>
  <si>
    <t xml:space="preserve">Current share price (ROP)</t>
  </si>
  <si>
    <t xml:space="preserve">CHF</t>
  </si>
  <si>
    <t xml:space="preserve">Nearest dated SIX close found (7 Sep 2026, Stockopedia); exact 2 Sep 2026 close not retrieved – verify on SIX</t>
  </si>
  <si>
    <t xml:space="preserve">52-week low</t>
  </si>
  <si>
    <t xml:space="preserve">Morningstar ROP quote page (52-week range), late Sep 2026 – verify vs. 2 Sep 2026 window</t>
  </si>
  <si>
    <t xml:space="preserve">52-week high</t>
  </si>
  <si>
    <t xml:space="preserve">Observed raw beta (vs. local index)</t>
  </si>
  <si>
    <t xml:space="preserve">x</t>
  </si>
  <si>
    <t xml:space="preserve">stockanalysis.com, SWX:RO / ROP (beta 0.34–0.35)</t>
  </si>
  <si>
    <t xml:space="preserve">Peer EV / 2026E EBITDA – low</t>
  </si>
  <si>
    <t xml:space="preserve">Assumption: EU/US large-cap pharma trading range; not from annual reports</t>
  </si>
  <si>
    <t xml:space="preserve">Peer EV / 2026E EBITDA – high</t>
  </si>
  <si>
    <t xml:space="preserve">Sensitivity step – WACC</t>
  </si>
  <si>
    <t xml:space="preserve">%</t>
  </si>
  <si>
    <t xml:space="preserve">Grid increment</t>
  </si>
  <si>
    <t xml:space="preserve">Sensitivity step – terminal growth</t>
  </si>
  <si>
    <t xml:space="preserve">Sensitivity step – exit multiple</t>
  </si>
  <si>
    <t xml:space="preserve">Operating &amp; valuation drivers</t>
  </si>
  <si>
    <t xml:space="preserve">Base</t>
  </si>
  <si>
    <t xml:space="preserve">Bull</t>
  </si>
  <si>
    <t xml:space="preserve">Bear</t>
  </si>
  <si>
    <t xml:space="preserve">Live</t>
  </si>
  <si>
    <t xml:space="preserve">Source / rationale</t>
  </si>
  <si>
    <t xml:space="preserve">Revenue</t>
  </si>
  <si>
    <t xml:space="preserve">Pharmaceuticals sales growth – 2026E</t>
  </si>
  <si>
    <t xml:space="preserve">Hist. CHF: +4.3% (24A), +3.2% (25A); 2026 guide mid-single digit CER, CHF translation drag; bear = LOE / pricing (IRA, MFN)</t>
  </si>
  <si>
    <t xml:space="preserve">Pharmaceuticals sales growth – 2027E</t>
  </si>
  <si>
    <t xml:space="preserve">Pharmaceuticals sales growth – 2028E</t>
  </si>
  <si>
    <t xml:space="preserve">Pharmaceuticals sales growth – 2029E</t>
  </si>
  <si>
    <t xml:space="preserve">Pharmaceuticals sales growth – 2030E</t>
  </si>
  <si>
    <t xml:space="preserve">Diagnostics sales growth – 2026E</t>
  </si>
  <si>
    <t xml:space="preserve">Hist. CHF: –0.9% (24A), –3.3% (25A); China volume-based procurement drag fading</t>
  </si>
  <si>
    <t xml:space="preserve">Diagnostics sales growth – 2027E</t>
  </si>
  <si>
    <t xml:space="preserve">Diagnostics sales growth – 2028E</t>
  </si>
  <si>
    <t xml:space="preserve">Diagnostics sales growth – 2029E</t>
  </si>
  <si>
    <t xml:space="preserve">Diagnostics sales growth – 2030E</t>
  </si>
  <si>
    <t xml:space="preserve">Other revenue – % of Group sales</t>
  </si>
  <si>
    <t xml:space="preserve">Hist.: 2.9% / 3.1% / 3.0% (royalties, collaboration income)</t>
  </si>
  <si>
    <t xml:space="preserve">Profitability</t>
  </si>
  <si>
    <t xml:space="preserve">Adjusted EBITDA margin – 2026E</t>
  </si>
  <si>
    <t xml:space="preserve">Adj. EBITDA = core operating profit + depreciation (PPE + right-of-use). Hist.: 36.4% / 37.7% / 38.7%</t>
  </si>
  <si>
    <t xml:space="preserve">Adjusted EBITDA margin – 2027E</t>
  </si>
  <si>
    <t xml:space="preserve">Adjusted EBITDA margin – 2028E</t>
  </si>
  <si>
    <t xml:space="preserve">Adjusted EBITDA margin – 2029E</t>
  </si>
  <si>
    <t xml:space="preserve">Adjusted EBITDA margin – 2030E</t>
  </si>
  <si>
    <t xml:space="preserve">D&amp;A (incl. amortisation) – % of revenue</t>
  </si>
  <si>
    <t xml:space="preserve">Hist.: 5.7% / 5.5% / 5.3%</t>
  </si>
  <si>
    <t xml:space="preserve">Stock-based compensation – % of revenue (memo)</t>
  </si>
  <si>
    <t xml:space="preserve">Hist.: 1.4% each year. Treated as a cash-like cost: already inside EBITDA, NOT added back</t>
  </si>
  <si>
    <t xml:space="preserve">Investment &amp; working capital</t>
  </si>
  <si>
    <t xml:space="preserve">Capex (PPE + intangibles) – % of revenue</t>
  </si>
  <si>
    <t xml:space="preserve">Hist.: 7.7% / 8.0% / 9.1%</t>
  </si>
  <si>
    <t xml:space="preserve">Cost of sales – % of revenue (for WC days)</t>
  </si>
  <si>
    <t xml:space="preserve">IFRS cost of sales. Hist.: 27.1% / 26.1% / 26.3%</t>
  </si>
  <si>
    <t xml:space="preserve">Receivable days (DSO, on revenue)</t>
  </si>
  <si>
    <t xml:space="preserve">days</t>
  </si>
  <si>
    <t xml:space="preserve">Hist.: 66.6 / 66.1 / 66.3</t>
  </si>
  <si>
    <t xml:space="preserve">Inventory days (DIO, on cost of sales)</t>
  </si>
  <si>
    <t xml:space="preserve">Hist.: 172.9 / 170.5 / 164.0</t>
  </si>
  <si>
    <t xml:space="preserve">Payable days (DPO, on cost of sales)</t>
  </si>
  <si>
    <t xml:space="preserve">Hist.: 96.5 / 109.7 / 126.7 – 2025 elevated, partial normalisation</t>
  </si>
  <si>
    <t xml:space="preserve">Tax</t>
  </si>
  <si>
    <t xml:space="preserve">Cash tax rate on EBIT</t>
  </si>
  <si>
    <t xml:space="preserve">IFRS ETR 12.2% / 22.1% / 18.7%; core ETR 2025 18.6%; Basel-Stadt rate rise from 2026</t>
  </si>
  <si>
    <t xml:space="preserve">Terminal value</t>
  </si>
  <si>
    <t xml:space="preserve">Terminal (perpetuity) growth</t>
  </si>
  <si>
    <t xml:space="preserve">Below long-run nominal CHF GDP; patent cliff risk in bear</t>
  </si>
  <si>
    <t xml:space="preserve">Exit multiple – EV / terminal-year EBITDA</t>
  </si>
  <si>
    <t xml:space="preserve">Assumption, consistent with peer range above</t>
  </si>
  <si>
    <t xml:space="preserve">WACC inputs</t>
  </si>
  <si>
    <t xml:space="preserve">Risk-free rate (CHF, normalised)</t>
  </si>
  <si>
    <t xml:space="preserve">Held constant across scenarios (scenarios flex operations, not discount rate). Assumption: normalised 10y Swiss Confederation yield; not from annual reports</t>
  </si>
  <si>
    <t xml:space="preserve">Equity risk premium</t>
  </si>
  <si>
    <t xml:space="preserve">Held constant across scenarios. Assumption</t>
  </si>
  <si>
    <t xml:space="preserve">Unlevered beta (peer-based)</t>
  </si>
  <si>
    <t xml:space="preserve">Held constant across scenarios. Assumption: global large-cap pharma vs. MSCI World; local raw beta (0.35) understates global risk</t>
  </si>
  <si>
    <t xml:space="preserve">Pre-tax cost of debt</t>
  </si>
  <si>
    <t xml:space="preserve">Held constant. 2025 interest expense / avg. debt = 3.4% (see WACC tab); USD-heavy bond book</t>
  </si>
  <si>
    <t xml:space="preserve">Historicals</t>
  </si>
  <si>
    <t xml:space="preserve">CHF millions, years ended 31 December. Source: Roche Finance Reports 2024 (2023 restated) and 2025. Blue = as reported.</t>
  </si>
  <si>
    <t xml:space="preserve">2023A</t>
  </si>
  <si>
    <t xml:space="preserve">2024A</t>
  </si>
  <si>
    <t xml:space="preserve">2025A</t>
  </si>
  <si>
    <t xml:space="preserve">% rev 23A</t>
  </si>
  <si>
    <t xml:space="preserve">% rev 24A</t>
  </si>
  <si>
    <t xml:space="preserve">% rev 25A</t>
  </si>
  <si>
    <t xml:space="preserve">YoY 24A</t>
  </si>
  <si>
    <t xml:space="preserve">YoY 25A</t>
  </si>
  <si>
    <t xml:space="preserve">Source</t>
  </si>
  <si>
    <t xml:space="preserve">Income statement</t>
  </si>
  <si>
    <t xml:space="preserve">Pharmaceuticals sales</t>
  </si>
  <si>
    <t xml:space="preserve">FR24 p.48 (restated) / FR25 p.48</t>
  </si>
  <si>
    <t xml:space="preserve">Diagnostics sales</t>
  </si>
  <si>
    <t xml:space="preserve">Group sales</t>
  </si>
  <si>
    <t xml:space="preserve">Other revenue</t>
  </si>
  <si>
    <t xml:space="preserve">Consolidated income statement</t>
  </si>
  <si>
    <t xml:space="preserve">Cost of sales</t>
  </si>
  <si>
    <t xml:space="preserve">Gross profit</t>
  </si>
  <si>
    <t xml:space="preserve">Research and development</t>
  </si>
  <si>
    <t xml:space="preserve">Selling, general and administration</t>
  </si>
  <si>
    <t xml:space="preserve">Other operating income (expense)</t>
  </si>
  <si>
    <t xml:space="preserve">2024 incl. CHF 4.7bn goodwill/intangible impairments</t>
  </si>
  <si>
    <t xml:space="preserve">Operating profit (IFRS)</t>
  </si>
  <si>
    <t xml:space="preserve">Financing costs</t>
  </si>
  <si>
    <t xml:space="preserve">Other financial income (expense)</t>
  </si>
  <si>
    <t xml:space="preserve">Profit before taxes</t>
  </si>
  <si>
    <t xml:space="preserve">Income taxes</t>
  </si>
  <si>
    <t xml:space="preserve">Net income</t>
  </si>
  <si>
    <t xml:space="preserve">Attributable to non-controlling interests</t>
  </si>
  <si>
    <t xml:space="preserve">Net income attributable to Roche shareholders</t>
  </si>
  <si>
    <t xml:space="preserve">Effective tax rate (IFRS)</t>
  </si>
  <si>
    <t xml:space="preserve">Per share</t>
  </si>
  <si>
    <t xml:space="preserve">Weighted avg. shares &amp; NES outstanding (m)</t>
  </si>
  <si>
    <t xml:space="preserve">Note 29</t>
  </si>
  <si>
    <t xml:space="preserve">Dilution – equity compensation plans (m)</t>
  </si>
  <si>
    <t xml:space="preserve">Diluted shares (m)</t>
  </si>
  <si>
    <t xml:space="preserve">Diluted EPS (CHF) – calculated</t>
  </si>
  <si>
    <t xml:space="preserve">Diluted EPS (CHF) – as reported</t>
  </si>
  <si>
    <t xml:space="preserve">Note 29 (difference = share rounding)</t>
  </si>
  <si>
    <t xml:space="preserve">Dividend per share (CHF)</t>
  </si>
  <si>
    <t xml:space="preserve">Annual Reports</t>
  </si>
  <si>
    <t xml:space="preserve">Segment split</t>
  </si>
  <si>
    <t xml:space="preserve">Pharmaceuticals operating profit</t>
  </si>
  <si>
    <t xml:space="preserve">Diagnostics operating profit</t>
  </si>
  <si>
    <t xml:space="preserve">Corporate</t>
  </si>
  <si>
    <t xml:space="preserve">Check: segments vs. Group operating profit</t>
  </si>
  <si>
    <t xml:space="preserve">Pharmaceuticals – operating margin on sales</t>
  </si>
  <si>
    <t xml:space="preserve">Diagnostics – operating margin on sales</t>
  </si>
  <si>
    <t xml:space="preserve">Pharmaceuticals – share of Group sales</t>
  </si>
  <si>
    <t xml:space="preserve">Adjusted EBITDA build</t>
  </si>
  <si>
    <t xml:space="preserve">Core operating profit</t>
  </si>
  <si>
    <t xml:space="preserve">Finance Review, core results</t>
  </si>
  <si>
    <t xml:space="preserve">Depreciation – property, plant and equipment</t>
  </si>
  <si>
    <t xml:space="preserve">Note 30</t>
  </si>
  <si>
    <t xml:space="preserve">Depreciation – right-of-use assets</t>
  </si>
  <si>
    <t xml:space="preserve">Amortisation – intangible assets</t>
  </si>
  <si>
    <t xml:space="preserve">Total D&amp;A (excl. impairment)</t>
  </si>
  <si>
    <t xml:space="preserve">Impairment – goodwill</t>
  </si>
  <si>
    <t xml:space="preserve">Impairment – intangible assets</t>
  </si>
  <si>
    <t xml:space="preserve">Impairment – PPE</t>
  </si>
  <si>
    <t xml:space="preserve">Impairment – right-of-use assets</t>
  </si>
  <si>
    <t xml:space="preserve">Total impairments</t>
  </si>
  <si>
    <t xml:space="preserve">Stock-based compensation expense</t>
  </si>
  <si>
    <t xml:space="preserve">Note 30 (equity-settled plans)</t>
  </si>
  <si>
    <t xml:space="preserve">Adjusted EBITDA (core OP + depreciation)</t>
  </si>
  <si>
    <t xml:space="preserve">Adjusted EBITDA margin</t>
  </si>
  <si>
    <t xml:space="preserve">EBITDA (IFRS, before impairment)</t>
  </si>
  <si>
    <t xml:space="preserve">Core operating margin</t>
  </si>
  <si>
    <t xml:space="preserve">Interest expense on debt</t>
  </si>
  <si>
    <t xml:space="preserve">Note 4</t>
  </si>
  <si>
    <t xml:space="preserve">Margin bridge – IFRS operating margin (pp change)</t>
  </si>
  <si>
    <t xml:space="preserve">Opening operating margin</t>
  </si>
  <si>
    <t xml:space="preserve">Gross margin change</t>
  </si>
  <si>
    <t xml:space="preserve">R&amp;D intensity change</t>
  </si>
  <si>
    <t xml:space="preserve">SG&amp;A intensity change</t>
  </si>
  <si>
    <t xml:space="preserve">Other operating items change</t>
  </si>
  <si>
    <t xml:space="preserve">Closing operating margin</t>
  </si>
  <si>
    <t xml:space="preserve">Check vs. reported margin</t>
  </si>
  <si>
    <t xml:space="preserve">Balance sheet</t>
  </si>
  <si>
    <t xml:space="preserve">Property, plant and equipment</t>
  </si>
  <si>
    <t xml:space="preserve">Right-of-use assets</t>
  </si>
  <si>
    <t xml:space="preserve">Goodwill</t>
  </si>
  <si>
    <t xml:space="preserve">Intangible assets</t>
  </si>
  <si>
    <t xml:space="preserve">Deferred tax assets</t>
  </si>
  <si>
    <t xml:space="preserve">Defined benefit plan assets</t>
  </si>
  <si>
    <t xml:space="preserve">Other non-current assets</t>
  </si>
  <si>
    <t xml:space="preserve">Total non-current assets</t>
  </si>
  <si>
    <t xml:space="preserve">Inventories</t>
  </si>
  <si>
    <t xml:space="preserve">Accounts receivable</t>
  </si>
  <si>
    <t xml:space="preserve">Current income tax assets</t>
  </si>
  <si>
    <t xml:space="preserve">Other current assets</t>
  </si>
  <si>
    <t xml:space="preserve">Marketable securities</t>
  </si>
  <si>
    <t xml:space="preserve">Cash and cash equivalents</t>
  </si>
  <si>
    <t xml:space="preserve">Assets held for sale</t>
  </si>
  <si>
    <t xml:space="preserve">Total current assets</t>
  </si>
  <si>
    <t xml:space="preserve">Total assets</t>
  </si>
  <si>
    <t xml:space="preserve">Long-term debt</t>
  </si>
  <si>
    <t xml:space="preserve">Deferred tax liabilities</t>
  </si>
  <si>
    <t xml:space="preserve">Defined benefit plan liabilities</t>
  </si>
  <si>
    <t xml:space="preserve">Provisions – non-current</t>
  </si>
  <si>
    <t xml:space="preserve">Other non-current liabilities</t>
  </si>
  <si>
    <t xml:space="preserve">Total non-current liabilities</t>
  </si>
  <si>
    <t xml:space="preserve">Short-term debt</t>
  </si>
  <si>
    <t xml:space="preserve">Current income tax liabilities</t>
  </si>
  <si>
    <t xml:space="preserve">Provisions – current</t>
  </si>
  <si>
    <t xml:space="preserve">Accounts payable</t>
  </si>
  <si>
    <t xml:space="preserve">Other current liabilities</t>
  </si>
  <si>
    <t xml:space="preserve">Liabilities held for sale</t>
  </si>
  <si>
    <t xml:space="preserve">Total current liabilities</t>
  </si>
  <si>
    <t xml:space="preserve">Total liabilities</t>
  </si>
  <si>
    <t xml:space="preserve">Equity attributable to Roche shareholders</t>
  </si>
  <si>
    <t xml:space="preserve">Non-controlling interests</t>
  </si>
  <si>
    <t xml:space="preserve">Total equity</t>
  </si>
  <si>
    <t xml:space="preserve">Total liabilities and equity</t>
  </si>
  <si>
    <t xml:space="preserve">Balance check (assets – liabilities – equity)</t>
  </si>
  <si>
    <t xml:space="preserve">Debt, leases &amp; working capital memo</t>
  </si>
  <si>
    <t xml:space="preserve">Lease liabilities</t>
  </si>
  <si>
    <t xml:space="preserve">Note 28</t>
  </si>
  <si>
    <t xml:space="preserve">Total debt (bonds, CP, bank)</t>
  </si>
  <si>
    <t xml:space="preserve">Gross debt incl. leases</t>
  </si>
  <si>
    <t xml:space="preserve">Cash + marketable securities</t>
  </si>
  <si>
    <t xml:space="preserve">Net debt (Roche definition, excl. leases)</t>
  </si>
  <si>
    <t xml:space="preserve">Net debt – as reported</t>
  </si>
  <si>
    <t xml:space="preserve">Finance Review (shown as negative there)</t>
  </si>
  <si>
    <t xml:space="preserve">Check: net debt vs. reported</t>
  </si>
  <si>
    <t xml:space="preserve">Net pension deficit (DB liabilities – DB assets)</t>
  </si>
  <si>
    <t xml:space="preserve">Trade working capital (AR + inventories – AP)</t>
  </si>
  <si>
    <t xml:space="preserve">Receivable days (DSO)</t>
  </si>
  <si>
    <t xml:space="preserve">Inventory days (DIO)</t>
  </si>
  <si>
    <t xml:space="preserve">Payable days (DPO)</t>
  </si>
  <si>
    <t xml:space="preserve">Cash flow statement</t>
  </si>
  <si>
    <t xml:space="preserve">Cash generated from operations</t>
  </si>
  <si>
    <t xml:space="preserve">(Increase) decrease in net working capital</t>
  </si>
  <si>
    <t xml:space="preserve">Payments made for defined benefit plans</t>
  </si>
  <si>
    <t xml:space="preserve">Utilisation of provisions</t>
  </si>
  <si>
    <t xml:space="preserve">Other operating cash flows</t>
  </si>
  <si>
    <t xml:space="preserve">Income taxes paid</t>
  </si>
  <si>
    <t xml:space="preserve">Cash flow from operating activities</t>
  </si>
  <si>
    <t xml:space="preserve">Purchase of PPE</t>
  </si>
  <si>
    <t xml:space="preserve">Purchase of intangible assets</t>
  </si>
  <si>
    <t xml:space="preserve">Total capex</t>
  </si>
  <si>
    <t xml:space="preserve">Cash flow from investing activities – as reported</t>
  </si>
  <si>
    <t xml:space="preserve">of which other investing (M&amp;A, securities, disposals)</t>
  </si>
  <si>
    <t xml:space="preserve">Cash flow from financing activities</t>
  </si>
  <si>
    <t xml:space="preserve">Currency translation on cash</t>
  </si>
  <si>
    <t xml:space="preserve">Increase (decrease) in cash</t>
  </si>
  <si>
    <t xml:space="preserve">Opening cash</t>
  </si>
  <si>
    <t xml:space="preserve">Closing cash – per cash flow</t>
  </si>
  <si>
    <t xml:space="preserve">Check: cash flow vs. balance sheet cash</t>
  </si>
  <si>
    <t xml:space="preserve">CFO – capex</t>
  </si>
  <si>
    <t xml:space="preserve">Capex – % of revenue</t>
  </si>
  <si>
    <t xml:space="preserve">D&amp;A – % of revenue</t>
  </si>
  <si>
    <t xml:space="preserve">SBC – % of revenue</t>
  </si>
  <si>
    <t xml:space="preserve">Cost of sales – % of revenue</t>
  </si>
  <si>
    <t xml:space="preserve">Operating Model</t>
  </si>
  <si>
    <t xml:space="preserve">CHF millions. Five-year forecast from revenue to unlevered free cash flow. All drivers from the Assumptions tab (Live column).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</si>
  <si>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</si>
  <si>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</si>
  <si>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</si>
  <si>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</si>
  <si>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</si>
  <si>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Drivers (linked from Assumptions – Live)</t>
  </si>
  <si>
    <t xml:space="preserve">Pharmaceuticals sales growth</t>
  </si>
  <si>
    <t xml:space="preserve">Diagnostics sales growth</t>
  </si>
  <si>
    <t xml:space="preserve">Receivable days</t>
  </si>
  <si>
    <t xml:space="preserve">Inventory days</t>
  </si>
  <si>
    <t xml:space="preserve">Payable days</t>
  </si>
  <si>
    <t xml:space="preserve">Cash tax rate</t>
  </si>
  <si>
    <t xml:space="preserve">Revenue build</t>
  </si>
  <si>
    <t xml:space="preserve">Revenue growth</t>
  </si>
  <si>
    <t xml:space="preserve">Adjusted EBITDA</t>
  </si>
  <si>
    <t xml:space="preserve">Depreciation &amp; amortisation</t>
  </si>
  <si>
    <t xml:space="preserve">EBIT (adjusted, after amortisation)</t>
  </si>
  <si>
    <t xml:space="preserve">EBIT margin</t>
  </si>
  <si>
    <t xml:space="preserve">Taxes on EBIT</t>
  </si>
  <si>
    <t xml:space="preserve">NOPAT</t>
  </si>
  <si>
    <t xml:space="preserve">Working capital</t>
  </si>
  <si>
    <t xml:space="preserve">Cost of sales (for days calculation)</t>
  </si>
  <si>
    <t xml:space="preserve">Trade working capital</t>
  </si>
  <si>
    <t xml:space="preserve">(Increase) / decrease in working capital</t>
  </si>
  <si>
    <t xml:space="preserve">Unlevered free cash flow</t>
  </si>
  <si>
    <t xml:space="preserve">Add: depreciation &amp; amortisation</t>
  </si>
  <si>
    <t xml:space="preserve">Less: capex</t>
  </si>
  <si>
    <t xml:space="preserve">Less: increase in working capital</t>
  </si>
  <si>
    <t xml:space="preserve">UFCF margin</t>
  </si>
  <si>
    <t xml:space="preserve">Cash conversion (UFCF / adj. EBITDA)</t>
  </si>
  <si>
    <t xml:space="preserve">Memo: stock-based compensation (inside EBITDA)</t>
  </si>
  <si>
    <t xml:space="preserve">Integrity checks (all must be zero)</t>
  </si>
  <si>
    <t xml:space="preserve">Revenue: segments + other revenue – total</t>
  </si>
  <si>
    <t xml:space="preserve">UFCF: EBITDA – tax – capex – ΔWC vs. UFCF</t>
  </si>
  <si>
    <t xml:space="preserve">Working capital roll-forward</t>
  </si>
  <si>
    <t xml:space="preserve">2025A base ties to Historicals (revenue, EBITDA)</t>
  </si>
  <si>
    <t xml:space="preserve">BALANCE CHECK</t>
  </si>
  <si>
    <t xml:space="preserve">WACC</t>
  </si>
  <si>
    <t xml:space="preserve">Cost of capital. CAPM cost of equity, after-tax cost of debt, market-value capital structure.</t>
  </si>
  <si>
    <t xml:space="preserve">Item</t>
  </si>
  <si>
    <t xml:space="preserve">Comment</t>
  </si>
  <si>
    <t xml:space="preserve">Capital structure (market values)</t>
  </si>
  <si>
    <t xml:space="preserve">Share price (CHF)</t>
  </si>
  <si>
    <t xml:space="preserve">FY2025 weighted diluted (Note 29)</t>
  </si>
  <si>
    <t xml:space="preserve">Market capitalisation (E)</t>
  </si>
  <si>
    <t xml:space="preserve">Total debt</t>
  </si>
  <si>
    <t xml:space="preserve">31 Dec 2025, latest audited balance sheet</t>
  </si>
  <si>
    <t xml:space="preserve">Total debt incl. leases (D)</t>
  </si>
  <si>
    <t xml:space="preserve">Enterprise capital (D + E)</t>
  </si>
  <si>
    <t xml:space="preserve">Debt / equity</t>
  </si>
  <si>
    <t xml:space="preserve">Weight of debt  D / (D + E)</t>
  </si>
  <si>
    <t xml:space="preserve">Weight of equity  E / (D + E)</t>
  </si>
  <si>
    <t xml:space="preserve">Beta</t>
  </si>
  <si>
    <t xml:space="preserve">Tax rate (for levering)</t>
  </si>
  <si>
    <t xml:space="preserve">Observed raw beta (local index)</t>
  </si>
  <si>
    <t xml:space="preserve">Blume-adjusted beta  (0.67 × raw + 0.33)</t>
  </si>
  <si>
    <t xml:space="preserve">Standard Bloomberg adjustment</t>
  </si>
  <si>
    <t xml:space="preserve">Implied unlevered beta from observed</t>
  </si>
  <si>
    <t xml:space="preserve">Reference only – local beta vs. SMI understates global systematic risk</t>
  </si>
  <si>
    <t xml:space="preserve">Selected unlevered beta (Assumptions)</t>
  </si>
  <si>
    <t xml:space="preserve">Relevered beta  βu × (1 + (1 – t) × D/E)</t>
  </si>
  <si>
    <t xml:space="preserve">Cost of equity (CAPM)</t>
  </si>
  <si>
    <t xml:space="preserve">Risk-free rate</t>
  </si>
  <si>
    <t xml:space="preserve">Cost of equity  rf + β × ERP</t>
  </si>
  <si>
    <t xml:space="preserve">Cost of debt</t>
  </si>
  <si>
    <t xml:space="preserve">Implied: 2025 interest expense / average debt</t>
  </si>
  <si>
    <t xml:space="preserve">Cross-check for the Assumptions input</t>
  </si>
  <si>
    <t xml:space="preserve">Pre-tax cost of debt (Assumptions)</t>
  </si>
  <si>
    <t xml:space="preserve">After-tax cost of debt</t>
  </si>
  <si>
    <t xml:space="preserve">Weighted average cost of capital</t>
  </si>
  <si>
    <t xml:space="preserve">DCF</t>
  </si>
  <si>
    <t xml:space="preserve">CHF millions. Mid-year convention with a stub period from the valuation date to 31 Dec 2026.</t>
  </si>
  <si>
    <t xml:space="preserve">Key inputs</t>
  </si>
  <si>
    <t xml:space="preserve">Terminal growth</t>
  </si>
  <si>
    <t xml:space="preserve">Exit multiple (EV / EBITDA)</t>
  </si>
  <si>
    <t xml:space="preserve">Current share price</t>
  </si>
  <si>
    <t xml:space="preserve">Period end</t>
  </si>
  <si>
    <t xml:space="preserve">Fraction of period after valuation date</t>
  </si>
  <si>
    <t xml:space="preserve">Discount period (mid-year)</t>
  </si>
  <si>
    <t xml:space="preserve">Unlevered free cash flow (full year)</t>
  </si>
  <si>
    <t xml:space="preserve">UFCF attributable to valuation period</t>
  </si>
  <si>
    <t xml:space="preserve">Discount factor</t>
  </si>
  <si>
    <t xml:space="preserve">PV of UFCF</t>
  </si>
  <si>
    <t xml:space="preserve">Terminal value &amp; enterprise value</t>
  </si>
  <si>
    <t xml:space="preserve">Perpetuity</t>
  </si>
  <si>
    <t xml:space="preserve">Exit multiple</t>
  </si>
  <si>
    <t xml:space="preserve">Sum of PV of forecast UFCF</t>
  </si>
  <si>
    <t xml:space="preserve">Terminal-year metric (2030E UFCF / EBITDA)</t>
  </si>
  <si>
    <t xml:space="preserve">Terminal value at end-2030</t>
  </si>
  <si>
    <t xml:space="preserve">Discount period for TV</t>
  </si>
  <si>
    <t xml:space="preserve">Perpetuity: mid-year (cash flows continue mid-year); exit: year-end (sale at 31 Dec 2030)</t>
  </si>
  <si>
    <t xml:space="preserve">PV of terminal value</t>
  </si>
  <si>
    <t xml:space="preserve">Enterprise value</t>
  </si>
  <si>
    <t xml:space="preserve">Terminal value – % of EV</t>
  </si>
  <si>
    <t xml:space="preserve">Implied exit multiple / implied perpetuity growth</t>
  </si>
  <si>
    <t xml:space="preserve">EV / 2026E adjusted EBITDA</t>
  </si>
  <si>
    <t xml:space="preserve">Enterprise value to equity value bridge</t>
  </si>
  <si>
    <t xml:space="preserve">Less: total debt</t>
  </si>
  <si>
    <t xml:space="preserve">31 Dec 2025 balance sheet</t>
  </si>
  <si>
    <t xml:space="preserve">Less: lease liabilities</t>
  </si>
  <si>
    <t xml:space="preserve">EBITDA is pre-lease, so leases are debt-like</t>
  </si>
  <si>
    <t xml:space="preserve">Plus: cash and cash equivalents</t>
  </si>
  <si>
    <t xml:space="preserve">Plus: marketable securities</t>
  </si>
  <si>
    <t xml:space="preserve">Less: net pension deficit</t>
  </si>
  <si>
    <t xml:space="preserve">DB liabilities less DB assets (pre-tax)</t>
  </si>
  <si>
    <t xml:space="preserve">Less: non-controlling interests (book)</t>
  </si>
  <si>
    <t xml:space="preserve">Mainly Chugai (Roche owns 61.1%); book value – see notes</t>
  </si>
  <si>
    <t xml:space="preserve">Total EV-to-equity adjustments</t>
  </si>
  <si>
    <t xml:space="preserve">Equity value</t>
  </si>
  <si>
    <t xml:space="preserve">Implied value per share (CHF)</t>
  </si>
  <si>
    <t xml:space="preserve">Current share price (CHF)</t>
  </si>
  <si>
    <t xml:space="preserve">Implied upside / (downside)</t>
  </si>
  <si>
    <t xml:space="preserve">Midpoint of both methods (CHF)</t>
  </si>
  <si>
    <t xml:space="preserve">Midpoint upside / (downside)</t>
  </si>
  <si>
    <t xml:space="preserve">Sensitivity</t>
  </si>
  <si>
    <t xml:space="preserve">Implied value per share (CHF). Every cell is a live re-computation of the DCF at the given WACC and terminal assumption.</t>
  </si>
  <si>
    <t xml:space="preserve">WACC vs. terminal growth – perpetuity growth method</t>
  </si>
  <si>
    <t xml:space="preserve">Terminal growth →</t>
  </si>
  <si>
    <t xml:space="preserve">WACC ↓</t>
  </si>
  <si>
    <t xml:space="preserve">WACC vs. exit multiple – exit multiple method</t>
  </si>
  <si>
    <t xml:space="preserve">Exit EV / EBITDA multiple →</t>
  </si>
  <si>
    <t xml:space="preserve">Charts</t>
  </si>
  <si>
    <t xml:space="preserve">Chart data below is fully linked; charts update with the scenario switch.</t>
  </si>
  <si>
    <t xml:space="preserve">Revenue, EBITDA &amp; margin</t>
  </si>
  <si>
    <t xml:space="preserve">Adj. EBITDA margin</t>
  </si>
  <si>
    <t xml:space="preserve">UFCF bridge 2026E (waterfall)</t>
  </si>
  <si>
    <t xml:space="preserve">Step</t>
  </si>
  <si>
    <t xml:space="preserve">Cumulative</t>
  </si>
  <si>
    <t xml:space="preserve">Increase</t>
  </si>
  <si>
    <t xml:space="preserve">Decrease</t>
  </si>
  <si>
    <t xml:space="preserve">Total</t>
  </si>
  <si>
    <t xml:space="preserve">Adj. EBITDA</t>
  </si>
  <si>
    <t xml:space="preserve">Taxes</t>
  </si>
  <si>
    <t xml:space="preserve">Capex</t>
  </si>
  <si>
    <t xml:space="preserve">Δ Working capital</t>
  </si>
  <si>
    <t xml:space="preserve">UFCF 2026E</t>
  </si>
  <si>
    <t xml:space="preserve">Check: cumulative vs. UFCF</t>
  </si>
  <si>
    <t xml:space="preserve">Valuation summary – football field (CHF per share)</t>
  </si>
  <si>
    <t xml:space="preserve">Method</t>
  </si>
  <si>
    <t xml:space="preserve">Low</t>
  </si>
  <si>
    <t xml:space="preserve">High</t>
  </si>
  <si>
    <t xml:space="preserve">Bar length</t>
  </si>
  <si>
    <t xml:space="preserve">52-week trading range</t>
  </si>
  <si>
    <t xml:space="preserve">Trading comps (EV / 2026E EBITDA)</t>
  </si>
  <si>
    <t xml:space="preserve">DCF – exit multiple (±1 step)</t>
  </si>
  <si>
    <t xml:space="preserve">DCF – perpetuity growth (±1 step)</t>
  </si>
  <si>
    <t xml:space="preserve">Football field note: read the current share price (row 25) against the bars; the 52-week bar brackets the market range.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</si>
</sst>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d\ mmm\ yyyy"/>
    <numFmt numFmtId="167" formatCode="&quot;CHF &quot;#,##0.00_);&quot;(CHF &quot;#,##0.00\)"/>
    <numFmt numFmtId="168" formatCode="0.00_);\(0.00\)"/>
    <numFmt numFmtId="169" formatCode="0.0\x_);\(0.0&quot;x)&quot;"/>
    <numFmt numFmtId="170" formatCode="0.0%_);\(0.0%\);\–_)"/>
    <numFmt numFmtId="171" formatCode="0.0_);\(0.0\)"/>
    <numFmt numFmtId="172" formatCode="#,##0.0_);\(#,##0.0\);\–_)"/>
    <numFmt numFmtId="173" formatCode="#,##0.0_);\(#,##0.0\)"/>
    <numFmt numFmtId="174" formatCode="0.000"/>
    <numFmt numFmtId="175" formatCode="0.0000"/>
    <numFmt numFmtId="176" formatCode="#,##0"/>
    <numFmt numFmtId="177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40"/>
      <color rgb="FFFFFFFF"/>
      <name val="Cormorant Garamond"/>
      <family val="0"/>
      <charset val="1"/>
    </font>
    <font>
      <sz val="16"/>
      <color rgb="FFC9D3E3"/>
      <name val="Cormorant Garamond"/>
      <family val="0"/>
      <charset val="1"/>
    </font>
    <font>
      <sz val="26"/>
      <color rgb="FFFFFFFF"/>
      <name val="Cormorant Garamond"/>
      <family val="0"/>
      <charset val="1"/>
    </font>
    <font>
      <sz val="13"/>
      <color rgb="FFFFFFFF"/>
      <name val="Arial"/>
      <family val="0"/>
      <charset val="1"/>
    </font>
    <font>
      <sz val="11"/>
      <color rgb="FFC9D3E3"/>
      <name val="Arial"/>
      <family val="0"/>
      <charset val="1"/>
    </font>
    <font>
      <b val="true"/>
      <sz val="12"/>
      <color rgb="FFFFD966"/>
      <name val="Arial"/>
      <family val="0"/>
      <charset val="1"/>
    </font>
    <font>
      <i val="true"/>
      <sz val="9"/>
      <color rgb="FFC9D3E3"/>
      <name val="Arial"/>
      <family val="0"/>
      <charset val="1"/>
    </font>
    <font>
      <b val="true"/>
      <sz val="14"/>
      <color rgb="FF0B1F3A"/>
      <name val="Cormorant Garamond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5A6B82"/>
      <name val="Arial"/>
      <family val="0"/>
      <charset val="1"/>
    </font>
    <font>
      <b val="true"/>
      <sz val="20"/>
      <color rgb="FF0B1F3A"/>
      <name val="Cormorant Garamond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2"/>
      <color rgb="FFFFFFFF"/>
      <name val="Cormorant Garamond"/>
      <family val="0"/>
      <charset val="1"/>
    </font>
    <font>
      <sz val="10"/>
      <color rgb="FF000000"/>
      <name val="Arial"/>
      <family val="0"/>
      <charset val="1"/>
    </font>
    <font>
      <sz val="10"/>
      <color rgb="FF5A6B8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0B1F3A"/>
      <name val="Cormorant Garamond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8"/>
      <color rgb="FF5A6B82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i val="true"/>
      <sz val="10"/>
      <color rgb="FF0B1F3A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B1F3A"/>
        <bgColor rgb="FF1F3A5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00000"/>
      </patternFill>
    </fill>
    <fill>
      <patternFill patternType="solid">
        <fgColor rgb="FFE8EDF4"/>
        <bgColor rgb="FFF9F9F9"/>
      </patternFill>
    </fill>
    <fill>
      <patternFill patternType="solid">
        <fgColor rgb="FF1F3A5F"/>
        <bgColor rgb="FF33333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7F8FA6"/>
      </left>
      <right style="thin">
        <color rgb="FF7F8FA6"/>
      </right>
      <top style="thin">
        <color rgb="FF7F8FA6"/>
      </top>
      <bottom style="thin">
        <color rgb="FF7F8FA6"/>
      </bottom>
      <diagonal/>
    </border>
    <border diagonalUp="false" diagonalDown="false">
      <left/>
      <right/>
      <top/>
      <bottom style="thin">
        <color rgb="FF7F8FA6"/>
      </bottom>
      <diagonal/>
    </border>
    <border diagonalUp="false" diagonalDown="false">
      <left/>
      <right/>
      <top style="thin">
        <color rgb="FF7F8FA6"/>
      </top>
      <bottom/>
      <diagonal/>
    </border>
    <border diagonalUp="false" diagonalDown="false">
      <left style="medium">
        <color rgb="FF0B1F3A"/>
      </left>
      <right style="medium">
        <color rgb="FF0B1F3A"/>
      </right>
      <top style="medium">
        <color rgb="FF0B1F3A"/>
      </top>
      <bottom style="medium">
        <color rgb="FF0B1F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70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72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78787"/>
      <rgbColor rgb="FF8FA9C9"/>
      <rgbColor rgb="FFC0504D"/>
      <rgbColor rgb="FFF9F9F9"/>
      <rgbColor rgb="FFE8EDF4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C9A227"/>
      <rgbColor rgb="FFFF6600"/>
      <rgbColor rgb="FF5A6B82"/>
      <rgbColor rgb="FF7F8FA6"/>
      <rgbColor rgb="FF1F3A5F"/>
      <rgbColor rgb="FF4E9A61"/>
      <rgbColor rgb="FF0B1F3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adjusted EBITDA (CHF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b1f3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Charts!$C$5:$J$5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Charts!$C$6:$J$6</c:f>
              <c:numCache>
                <c:formatCode>#,##0.0_);\(#,##0.0\);\–_)</c:formatCode>
                <c:ptCount val="8"/>
                <c:pt idx="0">
                  <c:v>60441</c:v>
                </c:pt>
                <c:pt idx="1">
                  <c:v>62395</c:v>
                </c:pt>
                <c:pt idx="2">
                  <c:v>63356</c:v>
                </c:pt>
                <c:pt idx="3">
                  <c:v>65539.37895</c:v>
                </c:pt>
                <c:pt idx="4">
                  <c:v>68271.5058105</c:v>
                </c:pt>
                <c:pt idx="5">
                  <c:v>70927.8128602475</c:v>
                </c:pt>
                <c:pt idx="6">
                  <c:v>73410.2863103562</c:v>
                </c:pt>
                <c:pt idx="7">
                  <c:v>75692.4581327752</c:v>
                </c:pt>
              </c:numCache>
            </c:numRef>
          </c:val>
        </c:ser>
        <c:ser>
          <c:idx val="1"/>
          <c:order val="1"/>
          <c:tx>
            <c:strRef>
              <c:f>Charts!B7</c:f>
              <c:strCache>
                <c:ptCount val="1"/>
                <c:pt idx="0">
                  <c:v>Adjusted EBITDA</c:v>
                </c:pt>
              </c:strCache>
            </c:strRef>
          </c:tx>
          <c:spPr>
            <a:solidFill>
              <a:srgbClr val="8fa9c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Charts!$C$5:$J$5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Charts!$C$7:$J$7</c:f>
              <c:numCache>
                <c:formatCode>#,##0.0_);\(#,##0.0\);\–_)</c:formatCode>
                <c:ptCount val="8"/>
                <c:pt idx="0">
                  <c:v>21988</c:v>
                </c:pt>
                <c:pt idx="1">
                  <c:v>23504</c:v>
                </c:pt>
                <c:pt idx="2">
                  <c:v>24543</c:v>
                </c:pt>
                <c:pt idx="3">
                  <c:v>25691.4365484</c:v>
                </c:pt>
                <c:pt idx="4">
                  <c:v>27035.516300958</c:v>
                </c:pt>
                <c:pt idx="5">
                  <c:v>28371.125144099</c:v>
                </c:pt>
                <c:pt idx="6">
                  <c:v>29510.9350967632</c:v>
                </c:pt>
                <c:pt idx="7">
                  <c:v>30579.7530856412</c:v>
                </c:pt>
              </c:numCache>
            </c:numRef>
          </c:val>
        </c:ser>
        <c:gapWidth val="150"/>
        <c:overlap val="0"/>
        <c:axId val="82336146"/>
        <c:axId val="40487977"/>
      </c:barChart>
      <c:lineChart>
        <c:grouping val="standard"/>
        <c:varyColors val="0"/>
        <c:ser>
          <c:idx val="2"/>
          <c:order val="2"/>
          <c:tx>
            <c:strRef>
              <c:f>Charts!B8</c:f>
              <c:strCache>
                <c:ptCount val="1"/>
                <c:pt idx="0">
                  <c:v>Adj. EBITDA margin</c:v>
                </c:pt>
              </c:strCache>
            </c:strRef>
          </c:tx>
          <c:spPr>
            <a:solidFill>
              <a:srgbClr val="c9a227"/>
            </a:solidFill>
            <a:ln w="28080">
              <a:solidFill>
                <a:srgbClr val="c9a22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Charts!$C$5:$J$5</c:f>
              <c:strCache>
                <c:ptCount val="8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  <c:pt idx="3">
                  <c:v>2026E</c:v>
                </c:pt>
                <c:pt idx="4">
                  <c:v>2027E</c:v>
                </c:pt>
                <c:pt idx="5">
                  <c:v>2028E</c:v>
                </c:pt>
                <c:pt idx="6">
                  <c:v>2029E</c:v>
                </c:pt>
                <c:pt idx="7">
                  <c:v>2030E</c:v>
                </c:pt>
              </c:strCache>
            </c:strRef>
          </c:cat>
          <c:val>
            <c:numRef>
              <c:f>Charts!$C$8:$J$8</c:f>
              <c:numCache>
                <c:formatCode>0.0%_);\(0.0%\);\–_)</c:formatCode>
                <c:ptCount val="8"/>
                <c:pt idx="0">
                  <c:v>0.363792789662646</c:v>
                </c:pt>
                <c:pt idx="1">
                  <c:v>0.376696850709191</c:v>
                </c:pt>
                <c:pt idx="2">
                  <c:v>0.387382410505714</c:v>
                </c:pt>
                <c:pt idx="3">
                  <c:v>0.392</c:v>
                </c:pt>
                <c:pt idx="4">
                  <c:v>0.396</c:v>
                </c:pt>
                <c:pt idx="5">
                  <c:v>0.4</c:v>
                </c:pt>
                <c:pt idx="6">
                  <c:v>0.402</c:v>
                </c:pt>
                <c:pt idx="7">
                  <c:v>0.404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223210"/>
        <c:axId val="63274192"/>
      </c:lineChart>
      <c:catAx>
        <c:axId val="823361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87977"/>
        <c:crosses val="autoZero"/>
        <c:auto val="1"/>
        <c:lblAlgn val="ctr"/>
        <c:lblOffset val="100"/>
        <c:noMultiLvlLbl val="0"/>
      </c:catAx>
      <c:valAx>
        <c:axId val="4048797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CHF 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36146"/>
        <c:crosses val="autoZero"/>
        <c:crossBetween val="between"/>
      </c:valAx>
      <c:catAx>
        <c:axId val="53223210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74192"/>
        <c:crosses val="autoZero"/>
        <c:auto val="1"/>
        <c:lblAlgn val="ctr"/>
        <c:lblOffset val="100"/>
        <c:noMultiLvlLbl val="0"/>
      </c:catAx>
      <c:valAx>
        <c:axId val="6327419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EBITDA margin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2321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Unlevered FCF bridge 2026E (CHF 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Charts!E11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Charts!$B$12:$B$16</c:f>
              <c:strCache>
                <c:ptCount val="5"/>
                <c:pt idx="0">
                  <c:v>Adj. EBITDA</c:v>
                </c:pt>
                <c:pt idx="1">
                  <c:v>Taxes</c:v>
                </c:pt>
                <c:pt idx="2">
                  <c:v>Capex</c:v>
                </c:pt>
                <c:pt idx="3">
                  <c:v>Δ Working capital</c:v>
                </c:pt>
                <c:pt idx="4">
                  <c:v>UFCF 2026E</c:v>
                </c:pt>
              </c:strCache>
            </c:strRef>
          </c:cat>
          <c:val>
            <c:numRef>
              <c:f>Charts!$E$12:$E$16</c:f>
              <c:numCache>
                <c:formatCode>#,##0.0_);\(#,##0.0\);\–_)</c:formatCode>
                <c:ptCount val="5"/>
                <c:pt idx="0">
                  <c:v>0</c:v>
                </c:pt>
                <c:pt idx="1">
                  <c:v>21470.0451502305</c:v>
                </c:pt>
                <c:pt idx="2">
                  <c:v>15899.1979394805</c:v>
                </c:pt>
                <c:pt idx="3">
                  <c:v>15153.3904205353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Charts!F11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4e9a6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Charts!$B$12:$B$16</c:f>
              <c:strCache>
                <c:ptCount val="5"/>
                <c:pt idx="0">
                  <c:v>Adj. EBITDA</c:v>
                </c:pt>
                <c:pt idx="1">
                  <c:v>Taxes</c:v>
                </c:pt>
                <c:pt idx="2">
                  <c:v>Capex</c:v>
                </c:pt>
                <c:pt idx="3">
                  <c:v>Δ Working capital</c:v>
                </c:pt>
                <c:pt idx="4">
                  <c:v>UFCF 2026E</c:v>
                </c:pt>
              </c:strCache>
            </c:strRef>
          </c:cat>
          <c:val>
            <c:numRef>
              <c:f>Charts!$F$12:$F$16</c:f>
              <c:numCache>
                <c:formatCode>#,##0.0_);\(#,##0.0\);\–_)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Charts!G11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Charts!$B$12:$B$16</c:f>
              <c:strCache>
                <c:ptCount val="5"/>
                <c:pt idx="0">
                  <c:v>Adj. EBITDA</c:v>
                </c:pt>
                <c:pt idx="1">
                  <c:v>Taxes</c:v>
                </c:pt>
                <c:pt idx="2">
                  <c:v>Capex</c:v>
                </c:pt>
                <c:pt idx="3">
                  <c:v>Δ Working capital</c:v>
                </c:pt>
                <c:pt idx="4">
                  <c:v>UFCF 2026E</c:v>
                </c:pt>
              </c:strCache>
            </c:strRef>
          </c:cat>
          <c:val>
            <c:numRef>
              <c:f>Charts!$G$12:$G$16</c:f>
              <c:numCache>
                <c:formatCode>#,##0.0_);\(#,##0.0\);\–_)</c:formatCode>
                <c:ptCount val="5"/>
                <c:pt idx="0">
                  <c:v>0</c:v>
                </c:pt>
                <c:pt idx="1">
                  <c:v>4221.3913981695</c:v>
                </c:pt>
                <c:pt idx="2">
                  <c:v>5570.84721075</c:v>
                </c:pt>
                <c:pt idx="3">
                  <c:v>745.807518945203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Charts!H11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Charts!$B$12:$B$16</c:f>
              <c:strCache>
                <c:ptCount val="5"/>
                <c:pt idx="0">
                  <c:v>Adj. EBITDA</c:v>
                </c:pt>
                <c:pt idx="1">
                  <c:v>Taxes</c:v>
                </c:pt>
                <c:pt idx="2">
                  <c:v>Capex</c:v>
                </c:pt>
                <c:pt idx="3">
                  <c:v>Δ Working capital</c:v>
                </c:pt>
                <c:pt idx="4">
                  <c:v>UFCF 2026E</c:v>
                </c:pt>
              </c:strCache>
            </c:strRef>
          </c:cat>
          <c:val>
            <c:numRef>
              <c:f>Charts!$H$12:$H$16</c:f>
              <c:numCache>
                <c:formatCode>#,##0.0_);\(#,##0.0\);\–_)</c:formatCode>
                <c:ptCount val="5"/>
                <c:pt idx="0">
                  <c:v>25691.4365484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15153.3904205353</c:v>
                </c:pt>
              </c:numCache>
            </c:numRef>
          </c:val>
        </c:ser>
        <c:gapWidth val="60"/>
        <c:overlap val="100"/>
        <c:axId val="52208225"/>
        <c:axId val="24939954"/>
      </c:barChart>
      <c:catAx>
        <c:axId val="522082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39954"/>
        <c:crosses val="autoZero"/>
        <c:auto val="1"/>
        <c:lblAlgn val="ctr"/>
        <c:lblOffset val="100"/>
        <c:noMultiLvlLbl val="0"/>
      </c:catAx>
      <c:valAx>
        <c:axId val="2493995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082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Valuation football field (CHF per 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Charts!C20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Charts!$B$21:$B$24</c:f>
              <c:strCache>
                <c:ptCount val="4"/>
                <c:pt idx="0">
                  <c:v>52-week trading range</c:v>
                </c:pt>
                <c:pt idx="1">
                  <c:v>Trading comps (EV / 2026E EBITDA)</c:v>
                </c:pt>
                <c:pt idx="2">
                  <c:v>DCF – exit multiple (±1 step)</c:v>
                </c:pt>
                <c:pt idx="3">
                  <c:v>DCF – perpetuity growth (±1 step)</c:v>
                </c:pt>
              </c:strCache>
            </c:strRef>
          </c:cat>
          <c:val>
            <c:numRef>
              <c:f>Charts!$C$21:$C$24</c:f>
              <c:numCache>
                <c:formatCode>0.00_);\(0.00\)</c:formatCode>
                <c:ptCount val="4"/>
                <c:pt idx="0">
                  <c:v>254</c:v>
                </c:pt>
                <c:pt idx="1">
                  <c:v>306.112184007721</c:v>
                </c:pt>
                <c:pt idx="2">
                  <c:v>384.153229517383</c:v>
                </c:pt>
                <c:pt idx="3">
                  <c:v>399.466178282573</c:v>
                </c:pt>
              </c:numCache>
            </c:numRef>
          </c:val>
        </c:ser>
        <c:ser>
          <c:idx val="1"/>
          <c:order val="1"/>
          <c:tx>
            <c:strRef>
              <c:f>Charts!E20</c:f>
              <c:strCache>
                <c:ptCount val="1"/>
                <c:pt idx="0">
                  <c:v>Bar length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Charts!$B$21:$B$24</c:f>
              <c:strCache>
                <c:ptCount val="4"/>
                <c:pt idx="0">
                  <c:v>52-week trading range</c:v>
                </c:pt>
                <c:pt idx="1">
                  <c:v>Trading comps (EV / 2026E EBITDA)</c:v>
                </c:pt>
                <c:pt idx="2">
                  <c:v>DCF – exit multiple (±1 step)</c:v>
                </c:pt>
                <c:pt idx="3">
                  <c:v>DCF – perpetuity growth (±1 step)</c:v>
                </c:pt>
              </c:strCache>
            </c:strRef>
          </c:cat>
          <c:val>
            <c:numRef>
              <c:f>Charts!$E$21:$E$24</c:f>
              <c:numCache>
                <c:formatCode>0.00_);\(0.00\)</c:formatCode>
                <c:ptCount val="4"/>
                <c:pt idx="0">
                  <c:v>121.8</c:v>
                </c:pt>
                <c:pt idx="1">
                  <c:v>95.9829509902864</c:v>
                </c:pt>
                <c:pt idx="2">
                  <c:v>37.21873393496</c:v>
                </c:pt>
                <c:pt idx="3">
                  <c:v>92.0041320820193</c:v>
                </c:pt>
              </c:numCache>
            </c:numRef>
          </c:val>
        </c:ser>
        <c:gapWidth val="50"/>
        <c:overlap val="100"/>
        <c:axId val="54423428"/>
        <c:axId val="52559317"/>
      </c:barChart>
      <c:catAx>
        <c:axId val="544234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59317"/>
        <c:crosses val="autoZero"/>
        <c:auto val="1"/>
        <c:lblAlgn val="ctr"/>
        <c:lblOffset val="100"/>
        <c:noMultiLvlLbl val="0"/>
      </c:catAx>
      <c:valAx>
        <c:axId val="52559317"/>
        <c:scaling>
          <c:orientation val="minMax"/>
          <c:min val="15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234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70560</xdr:rowOff>
    </xdr:from>
    <xdr:to>
      <xdr:col>21</xdr:col>
      <xdr:colOff>364680</xdr:colOff>
      <xdr:row>18</xdr:row>
      <xdr:rowOff>82440</xdr:rowOff>
    </xdr:to>
    <xdr:graphicFrame>
      <xdr:nvGraphicFramePr>
        <xdr:cNvPr id="0" name="Chart 1"/>
        <xdr:cNvGraphicFramePr/>
      </xdr:nvGraphicFramePr>
      <xdr:xfrm>
        <a:off x="9515520" y="57168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20</xdr:row>
      <xdr:rowOff>70560</xdr:rowOff>
    </xdr:from>
    <xdr:to>
      <xdr:col>21</xdr:col>
      <xdr:colOff>364680</xdr:colOff>
      <xdr:row>36</xdr:row>
      <xdr:rowOff>82440</xdr:rowOff>
    </xdr:to>
    <xdr:graphicFrame>
      <xdr:nvGraphicFramePr>
        <xdr:cNvPr id="1" name="Chart 2"/>
        <xdr:cNvGraphicFramePr/>
      </xdr:nvGraphicFramePr>
      <xdr:xfrm>
        <a:off x="9515520" y="400068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38</xdr:row>
      <xdr:rowOff>70560</xdr:rowOff>
    </xdr:from>
    <xdr:to>
      <xdr:col>21</xdr:col>
      <xdr:colOff>364680</xdr:colOff>
      <xdr:row>54</xdr:row>
      <xdr:rowOff>82440</xdr:rowOff>
    </xdr:to>
    <xdr:graphicFrame>
      <xdr:nvGraphicFramePr>
        <xdr:cNvPr id="2" name="Chart 3"/>
        <xdr:cNvGraphicFramePr/>
      </xdr:nvGraphicFramePr>
      <xdr:xfrm>
        <a:off x="9515520" y="7429680"/>
        <a:ext cx="64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false"/>
  </sheetPr>
  <dimension ref="A1:N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48.05" hidden="false" customHeight="false" outlineLevel="0" collapsed="false">
      <c r="A4" s="1"/>
      <c r="B4" s="2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19.7" hidden="false" customHeight="false" outlineLevel="0" collapsed="false">
      <c r="A7" s="1"/>
      <c r="B7" s="3" t="s">
        <v>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31.5" hidden="false" customHeight="false" outlineLevel="0" collapsed="false">
      <c r="A10" s="1"/>
      <c r="B10" s="4" t="s">
        <v>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customFormat="false" ht="16.15" hidden="false" customHeight="false" outlineLevel="0" collapsed="false">
      <c r="A13" s="1"/>
      <c r="B13" s="5" t="str">
        <f aca="false">"Valuation date: "&amp;TEXT(Assumptions!$D$7,"d mmmm yyyy")</f>
        <v>Valuation date: 2 September 2026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5" hidden="false" customHeight="false" outlineLevel="0" collapsed="false">
      <c r="A15" s="1"/>
      <c r="B15" s="6" t="str">
        <f aca="false">"Scenario shown: "&amp;Assumptions!$E$4&amp;"   |   CHF millions unless stated"</f>
        <v>Scenario shown: Base case   |   CHF millions unless stated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15" hidden="false" customHeight="false" outlineLevel="0" collapsed="false">
      <c r="A18" s="1"/>
      <c r="B18" s="7" t="str">
        <f aca="false">"Implied value per share (midpoint): CHF "&amp;TEXT(DCF!$C$50,"0.00")&amp;"   vs. current CHF "&amp;TEXT(Assumptions!$D$8,"0.00")</f>
        <v>Implied value per share (midpoint): CHF 421.63   vs. current CHF 357.00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customFormat="false" ht="15" hidden="false" customHeight="false" outlineLevel="0" collapsed="false">
      <c r="A22" s="1"/>
      <c r="B22" s="8" t="s">
        <v>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6" customFormat="false" ht="17.35" hidden="false" customHeight="false" outlineLevel="0" collapsed="false">
      <c r="B26" s="9" t="s">
        <v>4</v>
      </c>
    </row>
    <row r="27" customFormat="false" ht="15" hidden="false" customHeight="false" outlineLevel="0" collapsed="false">
      <c r="B27" s="10" t="s">
        <v>5</v>
      </c>
      <c r="C27" s="11" t="s">
        <v>6</v>
      </c>
    </row>
    <row r="28" customFormat="false" ht="15" hidden="false" customHeight="false" outlineLevel="0" collapsed="false">
      <c r="B28" s="12" t="s">
        <v>5</v>
      </c>
      <c r="C28" s="11" t="s">
        <v>7</v>
      </c>
    </row>
    <row r="29" customFormat="false" ht="15" hidden="false" customHeight="false" outlineLevel="0" collapsed="false">
      <c r="B29" s="13" t="s">
        <v>5</v>
      </c>
      <c r="C29" s="11" t="s">
        <v>8</v>
      </c>
    </row>
    <row r="30" customFormat="false" ht="15" hidden="false" customHeight="false" outlineLevel="0" collapsed="false">
      <c r="B30" s="14"/>
      <c r="C30" s="11" t="s">
        <v>9</v>
      </c>
    </row>
    <row r="31" customFormat="false" ht="15" hidden="false" customHeight="false" outlineLevel="0" collapsed="false">
      <c r="B31" s="15"/>
      <c r="C31" s="11" t="s">
        <v>10</v>
      </c>
    </row>
    <row r="33" customFormat="false" ht="15" hidden="false" customHeight="false" outlineLevel="0" collapsed="false">
      <c r="B33" s="16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B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7" min="4" style="0" width="13"/>
    <col collapsed="false" customWidth="true" hidden="false" outlineLevel="0" max="8" min="8" style="0" width="70"/>
  </cols>
  <sheetData>
    <row r="1" customFormat="false" ht="24.45" hidden="false" customHeight="false" outlineLevel="0" collapsed="false">
      <c r="B1" s="17" t="s">
        <v>12</v>
      </c>
    </row>
    <row r="2" customFormat="false" ht="15" hidden="false" customHeight="false" outlineLevel="0" collapsed="false">
      <c r="B2" s="16" t="s">
        <v>13</v>
      </c>
    </row>
    <row r="4" customFormat="false" ht="17.35" hidden="false" customHeight="false" outlineLevel="0" collapsed="false">
      <c r="B4" s="18" t="s">
        <v>14</v>
      </c>
      <c r="D4" s="19" t="n">
        <v>1</v>
      </c>
      <c r="E4" s="9" t="str">
        <f aca="false">CHOOSE($D$4,"Base case","Bull case","Bear case")</f>
        <v>Base case</v>
      </c>
    </row>
    <row r="6" customFormat="false" ht="15" hidden="false" customHeight="false" outlineLevel="0" collapsed="false">
      <c r="B6" s="20" t="s">
        <v>15</v>
      </c>
      <c r="C6" s="21" t="s">
        <v>16</v>
      </c>
      <c r="D6" s="21" t="s">
        <v>17</v>
      </c>
      <c r="E6" s="21"/>
      <c r="F6" s="21"/>
      <c r="G6" s="21"/>
      <c r="H6" s="21" t="s">
        <v>18</v>
      </c>
    </row>
    <row r="7" customFormat="false" ht="15" hidden="false" customHeight="false" outlineLevel="0" collapsed="false">
      <c r="B7" s="22" t="s">
        <v>19</v>
      </c>
      <c r="C7" s="23" t="s">
        <v>20</v>
      </c>
      <c r="D7" s="24" t="n">
        <f aca="false">DATE(2026,9,2)</f>
        <v>46267</v>
      </c>
      <c r="H7" s="16" t="s">
        <v>21</v>
      </c>
    </row>
    <row r="8" customFormat="false" ht="15" hidden="false" customHeight="false" outlineLevel="0" collapsed="false">
      <c r="B8" s="22" t="s">
        <v>22</v>
      </c>
      <c r="C8" s="23" t="s">
        <v>23</v>
      </c>
      <c r="D8" s="25" t="n">
        <v>357</v>
      </c>
      <c r="H8" s="16" t="s">
        <v>24</v>
      </c>
    </row>
    <row r="9" customFormat="false" ht="15" hidden="false" customHeight="false" outlineLevel="0" collapsed="false">
      <c r="B9" s="22" t="s">
        <v>25</v>
      </c>
      <c r="C9" s="23" t="s">
        <v>23</v>
      </c>
      <c r="D9" s="25" t="n">
        <v>254</v>
      </c>
      <c r="H9" s="16" t="s">
        <v>26</v>
      </c>
    </row>
    <row r="10" customFormat="false" ht="15" hidden="false" customHeight="false" outlineLevel="0" collapsed="false">
      <c r="B10" s="22" t="s">
        <v>27</v>
      </c>
      <c r="C10" s="23" t="s">
        <v>23</v>
      </c>
      <c r="D10" s="25" t="n">
        <v>375.8</v>
      </c>
      <c r="H10" s="16" t="s">
        <v>26</v>
      </c>
    </row>
    <row r="11" customFormat="false" ht="15" hidden="false" customHeight="false" outlineLevel="0" collapsed="false">
      <c r="B11" s="22" t="s">
        <v>28</v>
      </c>
      <c r="C11" s="23" t="s">
        <v>29</v>
      </c>
      <c r="D11" s="26" t="n">
        <v>0.35</v>
      </c>
      <c r="H11" s="16" t="s">
        <v>30</v>
      </c>
    </row>
    <row r="12" customFormat="false" ht="15" hidden="false" customHeight="false" outlineLevel="0" collapsed="false">
      <c r="B12" s="22" t="s">
        <v>31</v>
      </c>
      <c r="C12" s="23" t="s">
        <v>29</v>
      </c>
      <c r="D12" s="27" t="n">
        <v>10.5</v>
      </c>
      <c r="H12" s="16" t="s">
        <v>32</v>
      </c>
    </row>
    <row r="13" customFormat="false" ht="15" hidden="false" customHeight="false" outlineLevel="0" collapsed="false">
      <c r="B13" s="22" t="s">
        <v>33</v>
      </c>
      <c r="C13" s="23" t="s">
        <v>29</v>
      </c>
      <c r="D13" s="27" t="n">
        <v>13.5</v>
      </c>
      <c r="H13" s="16" t="s">
        <v>32</v>
      </c>
    </row>
    <row r="14" customFormat="false" ht="15" hidden="false" customHeight="false" outlineLevel="0" collapsed="false">
      <c r="B14" s="22" t="s">
        <v>34</v>
      </c>
      <c r="C14" s="23" t="s">
        <v>35</v>
      </c>
      <c r="D14" s="28" t="n">
        <v>0.0025</v>
      </c>
      <c r="H14" s="16" t="s">
        <v>36</v>
      </c>
    </row>
    <row r="15" customFormat="false" ht="15" hidden="false" customHeight="false" outlineLevel="0" collapsed="false">
      <c r="B15" s="22" t="s">
        <v>37</v>
      </c>
      <c r="C15" s="23" t="s">
        <v>35</v>
      </c>
      <c r="D15" s="28" t="n">
        <v>0.0025</v>
      </c>
      <c r="H15" s="16" t="s">
        <v>36</v>
      </c>
    </row>
    <row r="16" customFormat="false" ht="15" hidden="false" customHeight="false" outlineLevel="0" collapsed="false">
      <c r="B16" s="22" t="s">
        <v>38</v>
      </c>
      <c r="C16" s="23" t="s">
        <v>29</v>
      </c>
      <c r="D16" s="27" t="n">
        <v>0.5</v>
      </c>
      <c r="H16" s="16" t="s">
        <v>36</v>
      </c>
    </row>
    <row r="18" customFormat="false" ht="15" hidden="false" customHeight="false" outlineLevel="0" collapsed="false">
      <c r="B18" s="20" t="s">
        <v>39</v>
      </c>
      <c r="C18" s="21" t="s">
        <v>16</v>
      </c>
      <c r="D18" s="21" t="s">
        <v>40</v>
      </c>
      <c r="E18" s="21" t="s">
        <v>41</v>
      </c>
      <c r="F18" s="21" t="s">
        <v>42</v>
      </c>
      <c r="G18" s="21" t="s">
        <v>43</v>
      </c>
      <c r="H18" s="21" t="s">
        <v>44</v>
      </c>
    </row>
    <row r="19" customFormat="false" ht="15" hidden="false" customHeight="false" outlineLevel="0" collapsed="false">
      <c r="B19" s="29" t="s">
        <v>45</v>
      </c>
      <c r="C19" s="30"/>
      <c r="D19" s="30"/>
      <c r="E19" s="30"/>
      <c r="F19" s="30"/>
      <c r="G19" s="30"/>
      <c r="H19" s="30"/>
    </row>
    <row r="20" customFormat="false" ht="15" hidden="false" customHeight="false" outlineLevel="0" collapsed="false">
      <c r="B20" s="31" t="s">
        <v>46</v>
      </c>
      <c r="C20" s="23" t="s">
        <v>35</v>
      </c>
      <c r="D20" s="28" t="n">
        <v>0.04</v>
      </c>
      <c r="E20" s="28" t="n">
        <v>0.06</v>
      </c>
      <c r="F20" s="28" t="n">
        <v>0.015</v>
      </c>
      <c r="G20" s="32" t="n">
        <f aca="false">CHOOSE($D$4,D20,E20,F20)</f>
        <v>0.04</v>
      </c>
      <c r="H20" s="16" t="s">
        <v>47</v>
      </c>
    </row>
    <row r="21" customFormat="false" ht="15" hidden="false" customHeight="false" outlineLevel="0" collapsed="false">
      <c r="B21" s="31" t="s">
        <v>48</v>
      </c>
      <c r="C21" s="23" t="s">
        <v>35</v>
      </c>
      <c r="D21" s="28" t="n">
        <v>0.045</v>
      </c>
      <c r="E21" s="28" t="n">
        <v>0.065</v>
      </c>
      <c r="F21" s="28" t="n">
        <v>0.01</v>
      </c>
      <c r="G21" s="32" t="n">
        <f aca="false">CHOOSE($D$4,D21,E21,F21)</f>
        <v>0.045</v>
      </c>
      <c r="H21" s="16"/>
    </row>
    <row r="22" customFormat="false" ht="15" hidden="false" customHeight="false" outlineLevel="0" collapsed="false">
      <c r="B22" s="31" t="s">
        <v>49</v>
      </c>
      <c r="C22" s="23" t="s">
        <v>35</v>
      </c>
      <c r="D22" s="28" t="n">
        <v>0.04</v>
      </c>
      <c r="E22" s="28" t="n">
        <v>0.06</v>
      </c>
      <c r="F22" s="28" t="n">
        <v>0.005</v>
      </c>
      <c r="G22" s="32" t="n">
        <f aca="false">CHOOSE($D$4,D22,E22,F22)</f>
        <v>0.04</v>
      </c>
      <c r="H22" s="16"/>
    </row>
    <row r="23" customFormat="false" ht="15" hidden="false" customHeight="false" outlineLevel="0" collapsed="false">
      <c r="B23" s="31" t="s">
        <v>50</v>
      </c>
      <c r="C23" s="23" t="s">
        <v>35</v>
      </c>
      <c r="D23" s="28" t="n">
        <v>0.035</v>
      </c>
      <c r="E23" s="28" t="n">
        <v>0.055</v>
      </c>
      <c r="F23" s="28" t="n">
        <v>0.005</v>
      </c>
      <c r="G23" s="32" t="n">
        <f aca="false">CHOOSE($D$4,D23,E23,F23)</f>
        <v>0.035</v>
      </c>
      <c r="H23" s="16"/>
    </row>
    <row r="24" customFormat="false" ht="15" hidden="false" customHeight="false" outlineLevel="0" collapsed="false">
      <c r="B24" s="31" t="s">
        <v>51</v>
      </c>
      <c r="C24" s="23" t="s">
        <v>35</v>
      </c>
      <c r="D24" s="28" t="n">
        <v>0.03</v>
      </c>
      <c r="E24" s="28" t="n">
        <v>0.05</v>
      </c>
      <c r="F24" s="28" t="n">
        <v>0.01</v>
      </c>
      <c r="G24" s="32" t="n">
        <f aca="false">CHOOSE($D$4,D24,E24,F24)</f>
        <v>0.03</v>
      </c>
      <c r="H24" s="16"/>
    </row>
    <row r="25" customFormat="false" ht="15" hidden="false" customHeight="false" outlineLevel="0" collapsed="false">
      <c r="B25" s="31" t="s">
        <v>52</v>
      </c>
      <c r="C25" s="23" t="s">
        <v>35</v>
      </c>
      <c r="D25" s="28" t="n">
        <v>0.015</v>
      </c>
      <c r="E25" s="28" t="n">
        <v>0.03</v>
      </c>
      <c r="F25" s="28" t="n">
        <v>0</v>
      </c>
      <c r="G25" s="32" t="n">
        <f aca="false">CHOOSE($D$4,D25,E25,F25)</f>
        <v>0.015</v>
      </c>
      <c r="H25" s="16" t="s">
        <v>53</v>
      </c>
    </row>
    <row r="26" customFormat="false" ht="15" hidden="false" customHeight="false" outlineLevel="0" collapsed="false">
      <c r="B26" s="31" t="s">
        <v>54</v>
      </c>
      <c r="C26" s="23" t="s">
        <v>35</v>
      </c>
      <c r="D26" s="28" t="n">
        <v>0.03</v>
      </c>
      <c r="E26" s="28" t="n">
        <v>0.045</v>
      </c>
      <c r="F26" s="28" t="n">
        <v>0.01</v>
      </c>
      <c r="G26" s="32" t="n">
        <f aca="false">CHOOSE($D$4,D26,E26,F26)</f>
        <v>0.03</v>
      </c>
      <c r="H26" s="16"/>
    </row>
    <row r="27" customFormat="false" ht="15" hidden="false" customHeight="false" outlineLevel="0" collapsed="false">
      <c r="B27" s="31" t="s">
        <v>55</v>
      </c>
      <c r="C27" s="23" t="s">
        <v>35</v>
      </c>
      <c r="D27" s="28" t="n">
        <v>0.035</v>
      </c>
      <c r="E27" s="28" t="n">
        <v>0.05</v>
      </c>
      <c r="F27" s="28" t="n">
        <v>0.015</v>
      </c>
      <c r="G27" s="32" t="n">
        <f aca="false">CHOOSE($D$4,D27,E27,F27)</f>
        <v>0.035</v>
      </c>
      <c r="H27" s="16"/>
    </row>
    <row r="28" customFormat="false" ht="15" hidden="false" customHeight="false" outlineLevel="0" collapsed="false">
      <c r="B28" s="31" t="s">
        <v>56</v>
      </c>
      <c r="C28" s="23" t="s">
        <v>35</v>
      </c>
      <c r="D28" s="28" t="n">
        <v>0.035</v>
      </c>
      <c r="E28" s="28" t="n">
        <v>0.05</v>
      </c>
      <c r="F28" s="28" t="n">
        <v>0.02</v>
      </c>
      <c r="G28" s="32" t="n">
        <f aca="false">CHOOSE($D$4,D28,E28,F28)</f>
        <v>0.035</v>
      </c>
      <c r="H28" s="16"/>
    </row>
    <row r="29" customFormat="false" ht="15" hidden="false" customHeight="false" outlineLevel="0" collapsed="false">
      <c r="B29" s="31" t="s">
        <v>57</v>
      </c>
      <c r="C29" s="23" t="s">
        <v>35</v>
      </c>
      <c r="D29" s="28" t="n">
        <v>0.035</v>
      </c>
      <c r="E29" s="28" t="n">
        <v>0.05</v>
      </c>
      <c r="F29" s="28" t="n">
        <v>0.02</v>
      </c>
      <c r="G29" s="32" t="n">
        <f aca="false">CHOOSE($D$4,D29,E29,F29)</f>
        <v>0.035</v>
      </c>
      <c r="H29" s="16"/>
    </row>
    <row r="30" customFormat="false" ht="15" hidden="false" customHeight="false" outlineLevel="0" collapsed="false">
      <c r="B30" s="31" t="s">
        <v>58</v>
      </c>
      <c r="C30" s="23" t="s">
        <v>35</v>
      </c>
      <c r="D30" s="28" t="n">
        <v>0.03</v>
      </c>
      <c r="E30" s="28" t="n">
        <v>0.032</v>
      </c>
      <c r="F30" s="28" t="n">
        <v>0.028</v>
      </c>
      <c r="G30" s="32" t="n">
        <f aca="false">CHOOSE($D$4,D30,E30,F30)</f>
        <v>0.03</v>
      </c>
      <c r="H30" s="16" t="s">
        <v>59</v>
      </c>
    </row>
    <row r="31" customFormat="false" ht="15" hidden="false" customHeight="false" outlineLevel="0" collapsed="false">
      <c r="B31" s="29" t="s">
        <v>60</v>
      </c>
      <c r="C31" s="30"/>
      <c r="D31" s="30"/>
      <c r="E31" s="30"/>
      <c r="F31" s="30"/>
      <c r="G31" s="30"/>
      <c r="H31" s="30"/>
    </row>
    <row r="32" customFormat="false" ht="15" hidden="false" customHeight="false" outlineLevel="0" collapsed="false">
      <c r="B32" s="31" t="s">
        <v>61</v>
      </c>
      <c r="C32" s="23" t="s">
        <v>35</v>
      </c>
      <c r="D32" s="28" t="n">
        <v>0.392</v>
      </c>
      <c r="E32" s="28" t="n">
        <v>0.4</v>
      </c>
      <c r="F32" s="28" t="n">
        <v>0.38</v>
      </c>
      <c r="G32" s="32" t="n">
        <f aca="false">CHOOSE($D$4,D32,E32,F32)</f>
        <v>0.392</v>
      </c>
      <c r="H32" s="16" t="s">
        <v>62</v>
      </c>
    </row>
    <row r="33" customFormat="false" ht="15" hidden="false" customHeight="false" outlineLevel="0" collapsed="false">
      <c r="B33" s="31" t="s">
        <v>63</v>
      </c>
      <c r="C33" s="23" t="s">
        <v>35</v>
      </c>
      <c r="D33" s="28" t="n">
        <v>0.396</v>
      </c>
      <c r="E33" s="28" t="n">
        <v>0.408</v>
      </c>
      <c r="F33" s="28" t="n">
        <v>0.375</v>
      </c>
      <c r="G33" s="32" t="n">
        <f aca="false">CHOOSE($D$4,D33,E33,F33)</f>
        <v>0.396</v>
      </c>
      <c r="H33" s="16"/>
    </row>
    <row r="34" customFormat="false" ht="15" hidden="false" customHeight="false" outlineLevel="0" collapsed="false">
      <c r="B34" s="31" t="s">
        <v>64</v>
      </c>
      <c r="C34" s="23" t="s">
        <v>35</v>
      </c>
      <c r="D34" s="28" t="n">
        <v>0.4</v>
      </c>
      <c r="E34" s="28" t="n">
        <v>0.415</v>
      </c>
      <c r="F34" s="28" t="n">
        <v>0.37</v>
      </c>
      <c r="G34" s="32" t="n">
        <f aca="false">CHOOSE($D$4,D34,E34,F34)</f>
        <v>0.4</v>
      </c>
      <c r="H34" s="16"/>
    </row>
    <row r="35" customFormat="false" ht="15" hidden="false" customHeight="false" outlineLevel="0" collapsed="false">
      <c r="B35" s="31" t="s">
        <v>65</v>
      </c>
      <c r="C35" s="23" t="s">
        <v>35</v>
      </c>
      <c r="D35" s="28" t="n">
        <v>0.402</v>
      </c>
      <c r="E35" s="28" t="n">
        <v>0.42</v>
      </c>
      <c r="F35" s="28" t="n">
        <v>0.365</v>
      </c>
      <c r="G35" s="32" t="n">
        <f aca="false">CHOOSE($D$4,D35,E35,F35)</f>
        <v>0.402</v>
      </c>
      <c r="H35" s="16"/>
    </row>
    <row r="36" customFormat="false" ht="15" hidden="false" customHeight="false" outlineLevel="0" collapsed="false">
      <c r="B36" s="31" t="s">
        <v>66</v>
      </c>
      <c r="C36" s="23" t="s">
        <v>35</v>
      </c>
      <c r="D36" s="28" t="n">
        <v>0.404</v>
      </c>
      <c r="E36" s="28" t="n">
        <v>0.425</v>
      </c>
      <c r="F36" s="28" t="n">
        <v>0.36</v>
      </c>
      <c r="G36" s="32" t="n">
        <f aca="false">CHOOSE($D$4,D36,E36,F36)</f>
        <v>0.404</v>
      </c>
      <c r="H36" s="16"/>
    </row>
    <row r="37" customFormat="false" ht="15" hidden="false" customHeight="false" outlineLevel="0" collapsed="false">
      <c r="B37" s="31" t="s">
        <v>67</v>
      </c>
      <c r="C37" s="23" t="s">
        <v>35</v>
      </c>
      <c r="D37" s="28" t="n">
        <v>0.053</v>
      </c>
      <c r="E37" s="28" t="n">
        <v>0.052</v>
      </c>
      <c r="F37" s="28" t="n">
        <v>0.055</v>
      </c>
      <c r="G37" s="32" t="n">
        <f aca="false">CHOOSE($D$4,D37,E37,F37)</f>
        <v>0.053</v>
      </c>
      <c r="H37" s="16" t="s">
        <v>68</v>
      </c>
    </row>
    <row r="38" customFormat="false" ht="15" hidden="false" customHeight="false" outlineLevel="0" collapsed="false">
      <c r="B38" s="31" t="s">
        <v>69</v>
      </c>
      <c r="C38" s="23" t="s">
        <v>35</v>
      </c>
      <c r="D38" s="28" t="n">
        <v>0.014</v>
      </c>
      <c r="E38" s="28" t="n">
        <v>0.013</v>
      </c>
      <c r="F38" s="28" t="n">
        <v>0.015</v>
      </c>
      <c r="G38" s="32" t="n">
        <f aca="false">CHOOSE($D$4,D38,E38,F38)</f>
        <v>0.014</v>
      </c>
      <c r="H38" s="16" t="s">
        <v>70</v>
      </c>
    </row>
    <row r="39" customFormat="false" ht="15" hidden="false" customHeight="false" outlineLevel="0" collapsed="false">
      <c r="B39" s="29" t="s">
        <v>71</v>
      </c>
      <c r="C39" s="30"/>
      <c r="D39" s="30"/>
      <c r="E39" s="30"/>
      <c r="F39" s="30"/>
      <c r="G39" s="30"/>
      <c r="H39" s="30"/>
    </row>
    <row r="40" customFormat="false" ht="15" hidden="false" customHeight="false" outlineLevel="0" collapsed="false">
      <c r="B40" s="31" t="s">
        <v>72</v>
      </c>
      <c r="C40" s="23" t="s">
        <v>35</v>
      </c>
      <c r="D40" s="28" t="n">
        <v>0.085</v>
      </c>
      <c r="E40" s="28" t="n">
        <v>0.08</v>
      </c>
      <c r="F40" s="28" t="n">
        <v>0.095</v>
      </c>
      <c r="G40" s="32" t="n">
        <f aca="false">CHOOSE($D$4,D40,E40,F40)</f>
        <v>0.085</v>
      </c>
      <c r="H40" s="16" t="s">
        <v>73</v>
      </c>
    </row>
    <row r="41" customFormat="false" ht="15" hidden="false" customHeight="false" outlineLevel="0" collapsed="false">
      <c r="B41" s="31" t="s">
        <v>74</v>
      </c>
      <c r="C41" s="23" t="s">
        <v>35</v>
      </c>
      <c r="D41" s="28" t="n">
        <v>0.26</v>
      </c>
      <c r="E41" s="28" t="n">
        <v>0.255</v>
      </c>
      <c r="F41" s="28" t="n">
        <v>0.268</v>
      </c>
      <c r="G41" s="32" t="n">
        <f aca="false">CHOOSE($D$4,D41,E41,F41)</f>
        <v>0.26</v>
      </c>
      <c r="H41" s="16" t="s">
        <v>75</v>
      </c>
    </row>
    <row r="42" customFormat="false" ht="15" hidden="false" customHeight="false" outlineLevel="0" collapsed="false">
      <c r="B42" s="31" t="s">
        <v>76</v>
      </c>
      <c r="C42" s="23" t="s">
        <v>77</v>
      </c>
      <c r="D42" s="33" t="n">
        <v>66</v>
      </c>
      <c r="E42" s="33" t="n">
        <v>63</v>
      </c>
      <c r="F42" s="33" t="n">
        <v>70</v>
      </c>
      <c r="G42" s="34" t="n">
        <f aca="false">CHOOSE($D$4,D42,E42,F42)</f>
        <v>66</v>
      </c>
      <c r="H42" s="16" t="s">
        <v>78</v>
      </c>
    </row>
    <row r="43" customFormat="false" ht="15" hidden="false" customHeight="false" outlineLevel="0" collapsed="false">
      <c r="B43" s="31" t="s">
        <v>79</v>
      </c>
      <c r="C43" s="23" t="s">
        <v>77</v>
      </c>
      <c r="D43" s="33" t="n">
        <v>165</v>
      </c>
      <c r="E43" s="33" t="n">
        <v>155</v>
      </c>
      <c r="F43" s="33" t="n">
        <v>175</v>
      </c>
      <c r="G43" s="34" t="n">
        <f aca="false">CHOOSE($D$4,D43,E43,F43)</f>
        <v>165</v>
      </c>
      <c r="H43" s="16" t="s">
        <v>80</v>
      </c>
    </row>
    <row r="44" customFormat="false" ht="15" hidden="false" customHeight="false" outlineLevel="0" collapsed="false">
      <c r="B44" s="31" t="s">
        <v>81</v>
      </c>
      <c r="C44" s="23" t="s">
        <v>77</v>
      </c>
      <c r="D44" s="33" t="n">
        <v>120</v>
      </c>
      <c r="E44" s="33" t="n">
        <v>130</v>
      </c>
      <c r="F44" s="33" t="n">
        <v>110</v>
      </c>
      <c r="G44" s="34" t="n">
        <f aca="false">CHOOSE($D$4,D44,E44,F44)</f>
        <v>120</v>
      </c>
      <c r="H44" s="16" t="s">
        <v>82</v>
      </c>
    </row>
    <row r="45" customFormat="false" ht="15" hidden="false" customHeight="false" outlineLevel="0" collapsed="false">
      <c r="B45" s="29" t="s">
        <v>83</v>
      </c>
      <c r="C45" s="30"/>
      <c r="D45" s="30"/>
      <c r="E45" s="30"/>
      <c r="F45" s="30"/>
      <c r="G45" s="30"/>
      <c r="H45" s="30"/>
    </row>
    <row r="46" customFormat="false" ht="15" hidden="false" customHeight="false" outlineLevel="0" collapsed="false">
      <c r="B46" s="31" t="s">
        <v>84</v>
      </c>
      <c r="C46" s="23" t="s">
        <v>35</v>
      </c>
      <c r="D46" s="28" t="n">
        <v>0.19</v>
      </c>
      <c r="E46" s="28" t="n">
        <v>0.18</v>
      </c>
      <c r="F46" s="28" t="n">
        <v>0.205</v>
      </c>
      <c r="G46" s="32" t="n">
        <f aca="false">CHOOSE($D$4,D46,E46,F46)</f>
        <v>0.19</v>
      </c>
      <c r="H46" s="16" t="s">
        <v>85</v>
      </c>
    </row>
    <row r="47" customFormat="false" ht="15" hidden="false" customHeight="false" outlineLevel="0" collapsed="false">
      <c r="B47" s="29" t="s">
        <v>86</v>
      </c>
      <c r="C47" s="30"/>
      <c r="D47" s="30"/>
      <c r="E47" s="30"/>
      <c r="F47" s="30"/>
      <c r="G47" s="30"/>
      <c r="H47" s="30"/>
    </row>
    <row r="48" customFormat="false" ht="15" hidden="false" customHeight="false" outlineLevel="0" collapsed="false">
      <c r="B48" s="31" t="s">
        <v>87</v>
      </c>
      <c r="C48" s="23" t="s">
        <v>35</v>
      </c>
      <c r="D48" s="28" t="n">
        <v>0.015</v>
      </c>
      <c r="E48" s="28" t="n">
        <v>0.0175</v>
      </c>
      <c r="F48" s="28" t="n">
        <v>0.01</v>
      </c>
      <c r="G48" s="32" t="n">
        <f aca="false">CHOOSE($D$4,D48,E48,F48)</f>
        <v>0.015</v>
      </c>
      <c r="H48" s="16" t="s">
        <v>88</v>
      </c>
    </row>
    <row r="49" customFormat="false" ht="15" hidden="false" customHeight="false" outlineLevel="0" collapsed="false">
      <c r="B49" s="31" t="s">
        <v>89</v>
      </c>
      <c r="C49" s="23" t="s">
        <v>29</v>
      </c>
      <c r="D49" s="27" t="n">
        <v>12</v>
      </c>
      <c r="E49" s="27" t="n">
        <v>13.5</v>
      </c>
      <c r="F49" s="27" t="n">
        <v>10.5</v>
      </c>
      <c r="G49" s="35" t="n">
        <f aca="false">CHOOSE($D$4,D49,E49,F49)</f>
        <v>12</v>
      </c>
      <c r="H49" s="16" t="s">
        <v>90</v>
      </c>
    </row>
    <row r="50" customFormat="false" ht="15" hidden="false" customHeight="false" outlineLevel="0" collapsed="false">
      <c r="B50" s="29" t="s">
        <v>91</v>
      </c>
      <c r="C50" s="30"/>
      <c r="D50" s="30"/>
      <c r="E50" s="30"/>
      <c r="F50" s="30"/>
      <c r="G50" s="30"/>
      <c r="H50" s="30"/>
    </row>
    <row r="51" customFormat="false" ht="15" hidden="false" customHeight="false" outlineLevel="0" collapsed="false">
      <c r="B51" s="31" t="s">
        <v>92</v>
      </c>
      <c r="C51" s="23" t="s">
        <v>35</v>
      </c>
      <c r="D51" s="28" t="n">
        <v>0.01</v>
      </c>
      <c r="E51" s="28" t="n">
        <v>0.01</v>
      </c>
      <c r="F51" s="28" t="n">
        <v>0.01</v>
      </c>
      <c r="G51" s="32" t="n">
        <f aca="false">CHOOSE($D$4,D51,E51,F51)</f>
        <v>0.01</v>
      </c>
      <c r="H51" s="16" t="s">
        <v>93</v>
      </c>
    </row>
    <row r="52" customFormat="false" ht="15" hidden="false" customHeight="false" outlineLevel="0" collapsed="false">
      <c r="B52" s="31" t="s">
        <v>94</v>
      </c>
      <c r="C52" s="23" t="s">
        <v>35</v>
      </c>
      <c r="D52" s="28" t="n">
        <v>0.065</v>
      </c>
      <c r="E52" s="28" t="n">
        <v>0.065</v>
      </c>
      <c r="F52" s="28" t="n">
        <v>0.065</v>
      </c>
      <c r="G52" s="32" t="n">
        <f aca="false">CHOOSE($D$4,D52,E52,F52)</f>
        <v>0.065</v>
      </c>
      <c r="H52" s="16" t="s">
        <v>95</v>
      </c>
    </row>
    <row r="53" customFormat="false" ht="15" hidden="false" customHeight="false" outlineLevel="0" collapsed="false">
      <c r="B53" s="31" t="s">
        <v>96</v>
      </c>
      <c r="C53" s="23" t="s">
        <v>29</v>
      </c>
      <c r="D53" s="26" t="n">
        <v>0.8</v>
      </c>
      <c r="E53" s="26" t="n">
        <v>0.8</v>
      </c>
      <c r="F53" s="26" t="n">
        <v>0.8</v>
      </c>
      <c r="G53" s="36" t="n">
        <f aca="false">CHOOSE($D$4,D53,E53,F53)</f>
        <v>0.8</v>
      </c>
      <c r="H53" s="16" t="s">
        <v>97</v>
      </c>
    </row>
    <row r="54" customFormat="false" ht="15" hidden="false" customHeight="false" outlineLevel="0" collapsed="false">
      <c r="B54" s="31" t="s">
        <v>98</v>
      </c>
      <c r="C54" s="23" t="s">
        <v>35</v>
      </c>
      <c r="D54" s="28" t="n">
        <v>0.035</v>
      </c>
      <c r="E54" s="28" t="n">
        <v>0.035</v>
      </c>
      <c r="F54" s="28" t="n">
        <v>0.035</v>
      </c>
      <c r="G54" s="32" t="n">
        <f aca="false">CHOOSE($D$4,D54,E54,F54)</f>
        <v>0.035</v>
      </c>
      <c r="H54" s="16" t="s">
        <v>99</v>
      </c>
    </row>
  </sheetData>
  <dataValidations count="1">
    <dataValidation allowBlank="false" errorStyle="stop" operator="between" showDropDown="false" showErrorMessage="false" showInputMessage="false" sqref="D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8FA6"/>
    <pageSetUpPr fitToPage="false"/>
  </sheetPr>
  <dimension ref="B1:M1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5" min="3" style="0" width="12"/>
    <col collapsed="false" customWidth="true" hidden="false" outlineLevel="0" max="6" min="6" style="0" width="2"/>
    <col collapsed="false" customWidth="true" hidden="false" outlineLevel="0" max="9" min="7" style="0" width="10"/>
    <col collapsed="false" customWidth="true" hidden="false" outlineLevel="0" max="10" min="10" style="0" width="2"/>
    <col collapsed="false" customWidth="true" hidden="false" outlineLevel="0" max="12" min="11" style="0" width="10"/>
    <col collapsed="false" customWidth="true" hidden="false" outlineLevel="0" max="13" min="13" style="0" width="44"/>
  </cols>
  <sheetData>
    <row r="1" customFormat="false" ht="24.45" hidden="false" customHeight="false" outlineLevel="0" collapsed="false">
      <c r="B1" s="17" t="s">
        <v>100</v>
      </c>
    </row>
    <row r="2" customFormat="false" ht="15" hidden="false" customHeight="false" outlineLevel="0" collapsed="false">
      <c r="B2" s="16" t="s">
        <v>101</v>
      </c>
    </row>
    <row r="4" customFormat="false" ht="15" hidden="false" customHeight="false" outlineLevel="0" collapsed="false">
      <c r="B4" s="20"/>
      <c r="C4" s="21" t="s">
        <v>102</v>
      </c>
      <c r="D4" s="21" t="s">
        <v>103</v>
      </c>
      <c r="E4" s="21" t="s">
        <v>104</v>
      </c>
      <c r="F4" s="21"/>
      <c r="G4" s="21" t="s">
        <v>105</v>
      </c>
      <c r="H4" s="21" t="s">
        <v>106</v>
      </c>
      <c r="I4" s="21" t="s">
        <v>107</v>
      </c>
      <c r="J4" s="21"/>
      <c r="K4" s="21" t="s">
        <v>108</v>
      </c>
      <c r="L4" s="21" t="s">
        <v>109</v>
      </c>
      <c r="M4" s="21" t="s">
        <v>110</v>
      </c>
    </row>
    <row r="6" customFormat="false" ht="15" hidden="false" customHeight="false" outlineLevel="0" collapsed="false">
      <c r="B6" s="29" t="s">
        <v>111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customFormat="false" ht="15" hidden="false" customHeight="false" outlineLevel="0" collapsed="false">
      <c r="B7" s="31" t="s">
        <v>112</v>
      </c>
      <c r="C7" s="37" t="n">
        <v>44265</v>
      </c>
      <c r="D7" s="37" t="n">
        <v>46171</v>
      </c>
      <c r="E7" s="37" t="n">
        <v>47669</v>
      </c>
      <c r="G7" s="38" t="n">
        <f aca="false">IF(C$11=0,0,C7/C$11)</f>
        <v>0.732367101801757</v>
      </c>
      <c r="H7" s="38" t="n">
        <f aca="false">IF(D$11=0,0,D7/D$11)</f>
        <v>0.739979164997195</v>
      </c>
      <c r="I7" s="38" t="n">
        <f aca="false">IF(E$11=0,0,E7/E$11)</f>
        <v>0.752399141359934</v>
      </c>
      <c r="K7" s="38" t="n">
        <f aca="false">IF(C7=0,0,D7/C7-1)</f>
        <v>0.0430588501073084</v>
      </c>
      <c r="L7" s="38" t="n">
        <f aca="false">IF(D7=0,0,E7/D7-1)</f>
        <v>0.0324446080873275</v>
      </c>
      <c r="M7" s="39" t="s">
        <v>113</v>
      </c>
    </row>
    <row r="8" customFormat="false" ht="15" hidden="false" customHeight="false" outlineLevel="0" collapsed="false">
      <c r="B8" s="31" t="s">
        <v>114</v>
      </c>
      <c r="C8" s="37" t="n">
        <v>14451</v>
      </c>
      <c r="D8" s="37" t="n">
        <v>14324</v>
      </c>
      <c r="E8" s="37" t="n">
        <v>13847</v>
      </c>
      <c r="G8" s="38" t="n">
        <f aca="false">IF(C$11=0,0,C8/C$11)</f>
        <v>0.239092668883705</v>
      </c>
      <c r="H8" s="38" t="n">
        <f aca="false">IF(D$11=0,0,D8/D$11)</f>
        <v>0.229569677057457</v>
      </c>
      <c r="I8" s="38" t="n">
        <f aca="false">IF(E$11=0,0,E8/E$11)</f>
        <v>0.218558621125071</v>
      </c>
      <c r="K8" s="38" t="n">
        <f aca="false">IF(C8=0,0,D8/C8-1)</f>
        <v>-0.00878831914746381</v>
      </c>
      <c r="L8" s="38" t="n">
        <f aca="false">IF(D8=0,0,E8/D8-1)</f>
        <v>-0.0333007539793354</v>
      </c>
      <c r="M8" s="39" t="s">
        <v>113</v>
      </c>
    </row>
    <row r="9" customFormat="false" ht="15" hidden="false" customHeight="false" outlineLevel="0" collapsed="false">
      <c r="B9" s="40" t="s">
        <v>115</v>
      </c>
      <c r="C9" s="41" t="n">
        <f aca="false">C7+C8</f>
        <v>58716</v>
      </c>
      <c r="D9" s="41" t="n">
        <f aca="false">D7+D8</f>
        <v>60495</v>
      </c>
      <c r="E9" s="41" t="n">
        <f aca="false">E7+E8</f>
        <v>61516</v>
      </c>
      <c r="G9" s="38" t="n">
        <f aca="false">IF(C$11=0,0,C9/C$11)</f>
        <v>0.971459770685462</v>
      </c>
      <c r="H9" s="38" t="n">
        <f aca="false">IF(D$11=0,0,D9/D$11)</f>
        <v>0.969548842054652</v>
      </c>
      <c r="I9" s="38" t="n">
        <f aca="false">IF(E$11=0,0,E9/E$11)</f>
        <v>0.970957762485005</v>
      </c>
      <c r="K9" s="38" t="n">
        <f aca="false">IF(C9=0,0,D9/C9-1)</f>
        <v>0.0302983854486001</v>
      </c>
      <c r="L9" s="38" t="n">
        <f aca="false">IF(D9=0,0,E9/D9-1)</f>
        <v>0.0168774278866022</v>
      </c>
    </row>
    <row r="10" customFormat="false" ht="15" hidden="false" customHeight="false" outlineLevel="0" collapsed="false">
      <c r="B10" s="31" t="s">
        <v>116</v>
      </c>
      <c r="C10" s="37" t="n">
        <v>1725</v>
      </c>
      <c r="D10" s="37" t="n">
        <v>1900</v>
      </c>
      <c r="E10" s="37" t="n">
        <v>1840</v>
      </c>
      <c r="G10" s="38" t="n">
        <f aca="false">IF(C$11=0,0,C10/C$11)</f>
        <v>0.0285402293145381</v>
      </c>
      <c r="H10" s="38" t="n">
        <f aca="false">IF(D$11=0,0,D10/D$11)</f>
        <v>0.0304511579453482</v>
      </c>
      <c r="I10" s="38" t="n">
        <f aca="false">IF(E$11=0,0,E10/E$11)</f>
        <v>0.0290422375149946</v>
      </c>
      <c r="K10" s="38" t="n">
        <f aca="false">IF(C10=0,0,D10/C10-1)</f>
        <v>0.101449275362319</v>
      </c>
      <c r="L10" s="38" t="n">
        <f aca="false">IF(D10=0,0,E10/D10-1)</f>
        <v>-0.031578947368421</v>
      </c>
      <c r="M10" s="39" t="s">
        <v>117</v>
      </c>
    </row>
    <row r="11" customFormat="false" ht="15" hidden="false" customHeight="false" outlineLevel="0" collapsed="false">
      <c r="B11" s="40" t="s">
        <v>45</v>
      </c>
      <c r="C11" s="41" t="n">
        <f aca="false">C9+C10</f>
        <v>60441</v>
      </c>
      <c r="D11" s="41" t="n">
        <f aca="false">D9+D10</f>
        <v>62395</v>
      </c>
      <c r="E11" s="41" t="n">
        <f aca="false">E9+E10</f>
        <v>63356</v>
      </c>
      <c r="G11" s="38" t="n">
        <f aca="false">IF(C$11=0,0,C11/C$11)</f>
        <v>1</v>
      </c>
      <c r="H11" s="38" t="n">
        <f aca="false">IF(D$11=0,0,D11/D$11)</f>
        <v>1</v>
      </c>
      <c r="I11" s="38" t="n">
        <f aca="false">IF(E$11=0,0,E11/E$11)</f>
        <v>1</v>
      </c>
      <c r="K11" s="38" t="n">
        <f aca="false">IF(C11=0,0,D11/C11-1)</f>
        <v>0.032329048162671</v>
      </c>
      <c r="L11" s="38" t="n">
        <f aca="false">IF(D11=0,0,E11/D11-1)</f>
        <v>0.0154018751502525</v>
      </c>
    </row>
    <row r="12" customFormat="false" ht="15" hidden="false" customHeight="false" outlineLevel="0" collapsed="false">
      <c r="B12" s="31" t="s">
        <v>118</v>
      </c>
      <c r="C12" s="37" t="n">
        <v>-16357</v>
      </c>
      <c r="D12" s="37" t="n">
        <v>-16283</v>
      </c>
      <c r="E12" s="37" t="n">
        <v>-16645</v>
      </c>
      <c r="G12" s="38" t="n">
        <f aca="false">IF(C$11=0,0,C12/C$11)</f>
        <v>-0.27062755414371</v>
      </c>
      <c r="H12" s="38" t="n">
        <f aca="false">IF(D$11=0,0,D12/D$11)</f>
        <v>-0.260966423591634</v>
      </c>
      <c r="I12" s="38" t="n">
        <f aca="false">IF(E$11=0,0,E12/E$11)</f>
        <v>-0.262721762737547</v>
      </c>
      <c r="K12" s="38" t="n">
        <f aca="false">IF(C12=0,0,D12/C12-1)</f>
        <v>-0.00452405697866354</v>
      </c>
      <c r="L12" s="38" t="n">
        <f aca="false">IF(D12=0,0,E12/D12-1)</f>
        <v>0.0222317754713506</v>
      </c>
    </row>
    <row r="13" customFormat="false" ht="15" hidden="false" customHeight="false" outlineLevel="0" collapsed="false">
      <c r="B13" s="40" t="s">
        <v>119</v>
      </c>
      <c r="C13" s="41" t="n">
        <f aca="false">C11+C12</f>
        <v>44084</v>
      </c>
      <c r="D13" s="41" t="n">
        <f aca="false">D11+D12</f>
        <v>46112</v>
      </c>
      <c r="E13" s="41" t="n">
        <f aca="false">E11+E12</f>
        <v>46711</v>
      </c>
      <c r="G13" s="38" t="n">
        <f aca="false">IF(C$11=0,0,C13/C$11)</f>
        <v>0.72937244585629</v>
      </c>
      <c r="H13" s="38" t="n">
        <f aca="false">IF(D$11=0,0,D13/D$11)</f>
        <v>0.739033576408366</v>
      </c>
      <c r="I13" s="38" t="n">
        <f aca="false">IF(E$11=0,0,E13/E$11)</f>
        <v>0.737278237262454</v>
      </c>
      <c r="K13" s="38" t="n">
        <f aca="false">IF(C13=0,0,D13/C13-1)</f>
        <v>0.0460030850195081</v>
      </c>
      <c r="L13" s="38" t="n">
        <f aca="false">IF(D13=0,0,E13/D13-1)</f>
        <v>0.0129901110340043</v>
      </c>
    </row>
    <row r="14" customFormat="false" ht="15" hidden="false" customHeight="false" outlineLevel="0" collapsed="false">
      <c r="B14" s="31" t="s">
        <v>120</v>
      </c>
      <c r="C14" s="37" t="n">
        <v>-14200</v>
      </c>
      <c r="D14" s="37" t="n">
        <v>-15304</v>
      </c>
      <c r="E14" s="37" t="n">
        <v>-13352</v>
      </c>
      <c r="G14" s="38" t="n">
        <f aca="false">IF(C$11=0,0,C14/C$11)</f>
        <v>-0.234939858705184</v>
      </c>
      <c r="H14" s="38" t="n">
        <f aca="false">IF(D$11=0,0,D14/D$11)</f>
        <v>-0.245276063787162</v>
      </c>
      <c r="I14" s="38" t="n">
        <f aca="false">IF(E$11=0,0,E14/E$11)</f>
        <v>-0.210745627880548</v>
      </c>
      <c r="K14" s="38" t="n">
        <f aca="false">IF(C14=0,0,D14/C14-1)</f>
        <v>0.0777464788732394</v>
      </c>
      <c r="L14" s="38" t="n">
        <f aca="false">IF(D14=0,0,E14/D14-1)</f>
        <v>-0.127548353371668</v>
      </c>
    </row>
    <row r="15" customFormat="false" ht="15" hidden="false" customHeight="false" outlineLevel="0" collapsed="false">
      <c r="B15" s="31" t="s">
        <v>121</v>
      </c>
      <c r="C15" s="37" t="n">
        <v>-14881</v>
      </c>
      <c r="D15" s="37" t="n">
        <v>-14896</v>
      </c>
      <c r="E15" s="37" t="n">
        <v>-15161</v>
      </c>
      <c r="G15" s="38" t="n">
        <f aca="false">IF(C$11=0,0,C15/C$11)</f>
        <v>-0.246207044886749</v>
      </c>
      <c r="H15" s="38" t="n">
        <f aca="false">IF(D$11=0,0,D15/D$11)</f>
        <v>-0.23873707829153</v>
      </c>
      <c r="I15" s="38" t="n">
        <f aca="false">IF(E$11=0,0,E15/E$11)</f>
        <v>-0.239298566828714</v>
      </c>
      <c r="K15" s="38" t="n">
        <f aca="false">IF(C15=0,0,D15/C15-1)</f>
        <v>0.00100799677441032</v>
      </c>
      <c r="L15" s="38" t="n">
        <f aca="false">IF(D15=0,0,E15/D15-1)</f>
        <v>0.0177900107411386</v>
      </c>
    </row>
    <row r="16" customFormat="false" ht="15" hidden="false" customHeight="false" outlineLevel="0" collapsed="false">
      <c r="B16" s="31" t="s">
        <v>122</v>
      </c>
      <c r="C16" s="37" t="n">
        <v>392</v>
      </c>
      <c r="D16" s="37" t="n">
        <v>-2495</v>
      </c>
      <c r="E16" s="37" t="n">
        <v>278</v>
      </c>
      <c r="G16" s="38" t="n">
        <f aca="false">IF(C$11=0,0,C16/C$11)</f>
        <v>0.00648566370510084</v>
      </c>
      <c r="H16" s="38" t="n">
        <f aca="false">IF(D$11=0,0,D16/D$11)</f>
        <v>-0.0399871784598125</v>
      </c>
      <c r="I16" s="38" t="n">
        <f aca="false">IF(E$11=0,0,E16/E$11)</f>
        <v>0.00438790327672202</v>
      </c>
      <c r="K16" s="38" t="n">
        <f aca="false">IF(C16=0,0,D16/C16-1)</f>
        <v>-7.36479591836735</v>
      </c>
      <c r="L16" s="38" t="n">
        <f aca="false">IF(D16=0,0,E16/D16-1)</f>
        <v>-1.11142284569138</v>
      </c>
      <c r="M16" s="39" t="s">
        <v>123</v>
      </c>
    </row>
    <row r="17" customFormat="false" ht="15" hidden="false" customHeight="false" outlineLevel="0" collapsed="false">
      <c r="B17" s="40" t="s">
        <v>124</v>
      </c>
      <c r="C17" s="41" t="n">
        <f aca="false">C13+C14+C15+C16</f>
        <v>15395</v>
      </c>
      <c r="D17" s="41" t="n">
        <f aca="false">D13+D14+D15+D16</f>
        <v>13417</v>
      </c>
      <c r="E17" s="41" t="n">
        <f aca="false">E13+E14+E15+E16</f>
        <v>18476</v>
      </c>
      <c r="G17" s="38" t="n">
        <f aca="false">IF(C$11=0,0,C17/C$11)</f>
        <v>0.254711205969458</v>
      </c>
      <c r="H17" s="38" t="n">
        <f aca="false">IF(D$11=0,0,D17/D$11)</f>
        <v>0.215033255869861</v>
      </c>
      <c r="I17" s="38" t="n">
        <f aca="false">IF(E$11=0,0,E17/E$11)</f>
        <v>0.291621945829914</v>
      </c>
      <c r="K17" s="38" t="n">
        <f aca="false">IF(C17=0,0,D17/C17-1)</f>
        <v>-0.128483273790192</v>
      </c>
      <c r="L17" s="38" t="n">
        <f aca="false">IF(D17=0,0,E17/D17-1)</f>
        <v>0.377058955057017</v>
      </c>
    </row>
    <row r="18" customFormat="false" ht="15" hidden="false" customHeight="false" outlineLevel="0" collapsed="false">
      <c r="B18" s="31" t="s">
        <v>125</v>
      </c>
      <c r="C18" s="37" t="n">
        <v>-996</v>
      </c>
      <c r="D18" s="37" t="n">
        <v>-1412</v>
      </c>
      <c r="E18" s="37" t="n">
        <v>-1349</v>
      </c>
      <c r="G18" s="38" t="n">
        <f aca="false">IF(C$11=0,0,C18/C$11)</f>
        <v>-0.0164788802303072</v>
      </c>
      <c r="H18" s="38" t="n">
        <f aca="false">IF(D$11=0,0,D18/D$11)</f>
        <v>-0.022630018430964</v>
      </c>
      <c r="I18" s="38" t="n">
        <f aca="false">IF(E$11=0,0,E18/E$11)</f>
        <v>-0.0212923795694173</v>
      </c>
      <c r="K18" s="38" t="n">
        <f aca="false">IF(C18=0,0,D18/C18-1)</f>
        <v>0.417670682730924</v>
      </c>
      <c r="L18" s="38" t="n">
        <f aca="false">IF(D18=0,0,E18/D18-1)</f>
        <v>-0.0446175637393768</v>
      </c>
    </row>
    <row r="19" customFormat="false" ht="15" hidden="false" customHeight="false" outlineLevel="0" collapsed="false">
      <c r="B19" s="31" t="s">
        <v>126</v>
      </c>
      <c r="C19" s="37" t="n">
        <v>-320</v>
      </c>
      <c r="D19" s="37" t="n">
        <v>-212</v>
      </c>
      <c r="E19" s="37" t="n">
        <v>-154</v>
      </c>
      <c r="G19" s="38" t="n">
        <f aca="false">IF(C$11=0,0,C19/C$11)</f>
        <v>-0.00529441935110273</v>
      </c>
      <c r="H19" s="38" t="n">
        <f aca="false">IF(D$11=0,0,D19/D$11)</f>
        <v>-0.00339770814969148</v>
      </c>
      <c r="I19" s="38" t="n">
        <f aca="false">IF(E$11=0,0,E19/E$11)</f>
        <v>-0.00243070900940716</v>
      </c>
      <c r="K19" s="38" t="n">
        <f aca="false">IF(C19=0,0,D19/C19-1)</f>
        <v>-0.3375</v>
      </c>
      <c r="L19" s="38" t="n">
        <f aca="false">IF(D19=0,0,E19/D19-1)</f>
        <v>-0.273584905660377</v>
      </c>
    </row>
    <row r="20" customFormat="false" ht="15" hidden="false" customHeight="false" outlineLevel="0" collapsed="false">
      <c r="B20" s="40" t="s">
        <v>127</v>
      </c>
      <c r="C20" s="41" t="n">
        <f aca="false">C17+C18+C19</f>
        <v>14079</v>
      </c>
      <c r="D20" s="41" t="n">
        <f aca="false">D17+D18+D19</f>
        <v>11793</v>
      </c>
      <c r="E20" s="41" t="n">
        <f aca="false">E17+E18+E19</f>
        <v>16973</v>
      </c>
      <c r="G20" s="38" t="n">
        <f aca="false">IF(C$11=0,0,C20/C$11)</f>
        <v>0.232937906388048</v>
      </c>
      <c r="H20" s="38" t="n">
        <f aca="false">IF(D$11=0,0,D20/D$11)</f>
        <v>0.189005529289206</v>
      </c>
      <c r="I20" s="38" t="n">
        <f aca="false">IF(E$11=0,0,E20/E$11)</f>
        <v>0.267898857251089</v>
      </c>
      <c r="K20" s="38" t="n">
        <f aca="false">IF(C20=0,0,D20/C20-1)</f>
        <v>-0.162369486469209</v>
      </c>
      <c r="L20" s="38" t="n">
        <f aca="false">IF(D20=0,0,E20/D20-1)</f>
        <v>0.439243619096074</v>
      </c>
    </row>
    <row r="21" customFormat="false" ht="15" hidden="false" customHeight="false" outlineLevel="0" collapsed="false">
      <c r="B21" s="31" t="s">
        <v>128</v>
      </c>
      <c r="C21" s="37" t="n">
        <v>-1721</v>
      </c>
      <c r="D21" s="37" t="n">
        <v>-2606</v>
      </c>
      <c r="E21" s="37" t="n">
        <v>-3174</v>
      </c>
      <c r="G21" s="38" t="n">
        <f aca="false">IF(C$11=0,0,C21/C$11)</f>
        <v>-0.0284740490726494</v>
      </c>
      <c r="H21" s="38" t="n">
        <f aca="false">IF(D$11=0,0,D21/D$11)</f>
        <v>-0.0417661671608302</v>
      </c>
      <c r="I21" s="38" t="n">
        <f aca="false">IF(E$11=0,0,E21/E$11)</f>
        <v>-0.0500978597133657</v>
      </c>
      <c r="K21" s="38" t="n">
        <f aca="false">IF(C21=0,0,D21/C21-1)</f>
        <v>0.514235909355026</v>
      </c>
      <c r="L21" s="38" t="n">
        <f aca="false">IF(D21=0,0,E21/D21-1)</f>
        <v>0.217958557175748</v>
      </c>
    </row>
    <row r="22" customFormat="false" ht="15" hidden="false" customHeight="false" outlineLevel="0" collapsed="false">
      <c r="B22" s="40" t="s">
        <v>129</v>
      </c>
      <c r="C22" s="41" t="n">
        <f aca="false">C20+C21</f>
        <v>12358</v>
      </c>
      <c r="D22" s="41" t="n">
        <f aca="false">D20+D21</f>
        <v>9187</v>
      </c>
      <c r="E22" s="41" t="n">
        <f aca="false">E20+E21</f>
        <v>13799</v>
      </c>
      <c r="G22" s="38" t="n">
        <f aca="false">IF(C$11=0,0,C22/C$11)</f>
        <v>0.204463857315398</v>
      </c>
      <c r="H22" s="38" t="n">
        <f aca="false">IF(D$11=0,0,D22/D$11)</f>
        <v>0.147239362128376</v>
      </c>
      <c r="I22" s="38" t="n">
        <f aca="false">IF(E$11=0,0,E22/E$11)</f>
        <v>0.217800997537723</v>
      </c>
      <c r="K22" s="38" t="n">
        <f aca="false">IF(C22=0,0,D22/C22-1)</f>
        <v>-0.256594918271565</v>
      </c>
      <c r="L22" s="38" t="n">
        <f aca="false">IF(D22=0,0,E22/D22-1)</f>
        <v>0.502013715032111</v>
      </c>
    </row>
    <row r="23" customFormat="false" ht="15" hidden="false" customHeight="false" outlineLevel="0" collapsed="false">
      <c r="B23" s="31" t="s">
        <v>130</v>
      </c>
      <c r="C23" s="37" t="n">
        <v>-860</v>
      </c>
      <c r="D23" s="37" t="n">
        <v>-910</v>
      </c>
      <c r="E23" s="37" t="n">
        <v>-919</v>
      </c>
      <c r="G23" s="38" t="n">
        <f aca="false">IF(C$11=0,0,C23/C$11)</f>
        <v>-0.0142287520060886</v>
      </c>
      <c r="H23" s="38" t="n">
        <f aca="false">IF(D$11=0,0,D23/D$11)</f>
        <v>-0.0145845019632983</v>
      </c>
      <c r="I23" s="38" t="n">
        <f aca="false">IF(E$11=0,0,E23/E$11)</f>
        <v>-0.0145053349327609</v>
      </c>
      <c r="K23" s="38" t="n">
        <f aca="false">IF(C23=0,0,D23/C23-1)</f>
        <v>0.058139534883721</v>
      </c>
      <c r="L23" s="38" t="n">
        <f aca="false">IF(D23=0,0,E23/D23-1)</f>
        <v>0.00989010989010986</v>
      </c>
    </row>
    <row r="24" customFormat="false" ht="15" hidden="false" customHeight="false" outlineLevel="0" collapsed="false">
      <c r="B24" s="40" t="s">
        <v>131</v>
      </c>
      <c r="C24" s="41" t="n">
        <f aca="false">C22+C23</f>
        <v>11498</v>
      </c>
      <c r="D24" s="41" t="n">
        <f aca="false">D22+D23</f>
        <v>8277</v>
      </c>
      <c r="E24" s="41" t="n">
        <f aca="false">E22+E23</f>
        <v>12880</v>
      </c>
      <c r="G24" s="38" t="n">
        <f aca="false">IF(C$11=0,0,C24/C$11)</f>
        <v>0.19023510530931</v>
      </c>
      <c r="H24" s="38" t="n">
        <f aca="false">IF(D$11=0,0,D24/D$11)</f>
        <v>0.132654860165077</v>
      </c>
      <c r="I24" s="38" t="n">
        <f aca="false">IF(E$11=0,0,E24/E$11)</f>
        <v>0.203295662604962</v>
      </c>
      <c r="K24" s="38" t="n">
        <f aca="false">IF(C24=0,0,D24/C24-1)</f>
        <v>-0.280135675769699</v>
      </c>
      <c r="L24" s="38" t="n">
        <f aca="false">IF(D24=0,0,E24/D24-1)</f>
        <v>0.556119366920382</v>
      </c>
    </row>
    <row r="25" customFormat="false" ht="15" hidden="false" customHeight="false" outlineLevel="0" collapsed="false">
      <c r="B25" s="31" t="s">
        <v>132</v>
      </c>
      <c r="C25" s="42" t="n">
        <f aca="false">IF(C20=0,0,-C21/C20)</f>
        <v>0.122238795368989</v>
      </c>
      <c r="D25" s="42" t="n">
        <f aca="false">IF(D20=0,0,-D21/D20)</f>
        <v>0.220978546595438</v>
      </c>
      <c r="E25" s="42" t="n">
        <f aca="false">IF(E20=0,0,-E21/E20)</f>
        <v>0.187002886938078</v>
      </c>
    </row>
    <row r="27" customFormat="false" ht="15" hidden="false" customHeight="false" outlineLevel="0" collapsed="false">
      <c r="B27" s="29" t="s">
        <v>133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customFormat="false" ht="15" hidden="false" customHeight="false" outlineLevel="0" collapsed="false">
      <c r="B28" s="31" t="s">
        <v>134</v>
      </c>
      <c r="C28" s="43" t="n">
        <v>799</v>
      </c>
      <c r="D28" s="43" t="n">
        <v>797</v>
      </c>
      <c r="E28" s="43" t="n">
        <v>796</v>
      </c>
      <c r="K28" s="38" t="n">
        <f aca="false">IF(C28=0,0,D28/C28-1)</f>
        <v>-0.00250312891113891</v>
      </c>
      <c r="L28" s="38" t="n">
        <f aca="false">IF(D28=0,0,E28/D28-1)</f>
        <v>-0.00125470514429105</v>
      </c>
      <c r="M28" s="39" t="s">
        <v>135</v>
      </c>
    </row>
    <row r="29" customFormat="false" ht="15" hidden="false" customHeight="false" outlineLevel="0" collapsed="false">
      <c r="B29" s="31" t="s">
        <v>136</v>
      </c>
      <c r="C29" s="43" t="n">
        <v>5</v>
      </c>
      <c r="D29" s="43" t="n">
        <v>5</v>
      </c>
      <c r="E29" s="43" t="n">
        <v>7</v>
      </c>
      <c r="K29" s="38" t="n">
        <f aca="false">IF(C29=0,0,D29/C29-1)</f>
        <v>0</v>
      </c>
      <c r="L29" s="38" t="n">
        <f aca="false">IF(D29=0,0,E29/D29-1)</f>
        <v>0.4</v>
      </c>
      <c r="M29" s="39" t="s">
        <v>135</v>
      </c>
    </row>
    <row r="30" customFormat="false" ht="15" hidden="false" customHeight="false" outlineLevel="0" collapsed="false">
      <c r="B30" s="40" t="s">
        <v>137</v>
      </c>
      <c r="C30" s="44" t="n">
        <f aca="false">C28+C29</f>
        <v>804</v>
      </c>
      <c r="D30" s="44" t="n">
        <f aca="false">D28+D29</f>
        <v>802</v>
      </c>
      <c r="E30" s="44" t="n">
        <f aca="false">E28+E29</f>
        <v>803</v>
      </c>
      <c r="K30" s="38" t="n">
        <f aca="false">IF(C30=0,0,D30/C30-1)</f>
        <v>-0.00248756218905477</v>
      </c>
      <c r="L30" s="38" t="n">
        <f aca="false">IF(D30=0,0,E30/D30-1)</f>
        <v>0.00124688279301743</v>
      </c>
    </row>
    <row r="31" customFormat="false" ht="15" hidden="false" customHeight="false" outlineLevel="0" collapsed="false">
      <c r="B31" s="31" t="s">
        <v>138</v>
      </c>
      <c r="C31" s="45" t="n">
        <f aca="false">C24/C30</f>
        <v>14.3009950248756</v>
      </c>
      <c r="D31" s="45" t="n">
        <f aca="false">D24/D30</f>
        <v>10.3204488778055</v>
      </c>
      <c r="E31" s="45" t="n">
        <f aca="false">E24/E30</f>
        <v>16.0398505603985</v>
      </c>
      <c r="K31" s="38" t="n">
        <f aca="false">IF(C31=0,0,D31/C31-1)</f>
        <v>-0.278340502891319</v>
      </c>
      <c r="L31" s="38" t="n">
        <f aca="false">IF(D31=0,0,E31/D31-1)</f>
        <v>0.554181484769796</v>
      </c>
    </row>
    <row r="32" customFormat="false" ht="15" hidden="false" customHeight="false" outlineLevel="0" collapsed="false">
      <c r="B32" s="31" t="s">
        <v>139</v>
      </c>
      <c r="C32" s="26" t="n">
        <v>14.31</v>
      </c>
      <c r="D32" s="26" t="n">
        <v>10.31</v>
      </c>
      <c r="E32" s="26" t="n">
        <v>16.04</v>
      </c>
      <c r="K32" s="38" t="n">
        <f aca="false">IF(C32=0,0,D32/C32-1)</f>
        <v>-0.279524807826695</v>
      </c>
      <c r="L32" s="38" t="n">
        <f aca="false">IF(D32=0,0,E32/D32-1)</f>
        <v>0.555771096023278</v>
      </c>
      <c r="M32" s="39" t="s">
        <v>140</v>
      </c>
    </row>
    <row r="33" customFormat="false" ht="15" hidden="false" customHeight="false" outlineLevel="0" collapsed="false">
      <c r="B33" s="31" t="s">
        <v>141</v>
      </c>
      <c r="C33" s="26" t="n">
        <v>9.6</v>
      </c>
      <c r="D33" s="26" t="n">
        <v>9.7</v>
      </c>
      <c r="E33" s="26" t="n">
        <v>9.8</v>
      </c>
      <c r="K33" s="38" t="n">
        <f aca="false">IF(C33=0,0,D33/C33-1)</f>
        <v>0.0104166666666667</v>
      </c>
      <c r="L33" s="38" t="n">
        <f aca="false">IF(D33=0,0,E33/D33-1)</f>
        <v>0.0103092783505157</v>
      </c>
      <c r="M33" s="39" t="s">
        <v>142</v>
      </c>
    </row>
    <row r="35" customFormat="false" ht="15" hidden="false" customHeight="false" outlineLevel="0" collapsed="false">
      <c r="B35" s="29" t="s">
        <v>143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customFormat="false" ht="15" hidden="false" customHeight="false" outlineLevel="0" collapsed="false">
      <c r="B36" s="31" t="s">
        <v>144</v>
      </c>
      <c r="C36" s="37" t="n">
        <v>17911</v>
      </c>
      <c r="D36" s="37" t="n">
        <v>15587</v>
      </c>
      <c r="E36" s="37" t="n">
        <v>21666</v>
      </c>
      <c r="G36" s="38" t="n">
        <f aca="false">IF(C$11=0,0,C36/C$11)</f>
        <v>0.296338578117503</v>
      </c>
      <c r="H36" s="38" t="n">
        <f aca="false">IF(D$11=0,0,D36/D$11)</f>
        <v>0.249811683628496</v>
      </c>
      <c r="I36" s="38" t="n">
        <f aca="false">IF(E$11=0,0,E36/E$11)</f>
        <v>0.341972346739062</v>
      </c>
      <c r="K36" s="38" t="n">
        <f aca="false">IF(C36=0,0,D36/C36-1)</f>
        <v>-0.129752665959466</v>
      </c>
      <c r="L36" s="38" t="n">
        <f aca="false">IF(D36=0,0,E36/D36-1)</f>
        <v>0.390004490921922</v>
      </c>
    </row>
    <row r="37" customFormat="false" ht="15" hidden="false" customHeight="false" outlineLevel="0" collapsed="false">
      <c r="B37" s="31" t="s">
        <v>145</v>
      </c>
      <c r="C37" s="37" t="n">
        <v>1392</v>
      </c>
      <c r="D37" s="37" t="n">
        <v>1946</v>
      </c>
      <c r="E37" s="37" t="n">
        <v>1070</v>
      </c>
      <c r="G37" s="38" t="n">
        <f aca="false">IF(C$11=0,0,C37/C$11)</f>
        <v>0.0230307241772969</v>
      </c>
      <c r="H37" s="38" t="n">
        <f aca="false">IF(D$11=0,0,D37/D$11)</f>
        <v>0.0311883965061303</v>
      </c>
      <c r="I37" s="38" t="n">
        <f aca="false">IF(E$11=0,0,E37/E$11)</f>
        <v>0.0168886924679588</v>
      </c>
      <c r="K37" s="38" t="n">
        <f aca="false">IF(C37=0,0,D37/C37-1)</f>
        <v>0.397988505747126</v>
      </c>
      <c r="L37" s="38" t="n">
        <f aca="false">IF(D37=0,0,E37/D37-1)</f>
        <v>-0.450154162384378</v>
      </c>
    </row>
    <row r="38" customFormat="false" ht="15" hidden="false" customHeight="false" outlineLevel="0" collapsed="false">
      <c r="B38" s="31" t="s">
        <v>146</v>
      </c>
      <c r="C38" s="37" t="n">
        <v>-3908</v>
      </c>
      <c r="D38" s="37" t="n">
        <v>-4116</v>
      </c>
      <c r="E38" s="37" t="n">
        <v>-4260</v>
      </c>
      <c r="G38" s="38" t="n">
        <f aca="false">IF(C$11=0,0,C38/C$11)</f>
        <v>-0.0646580963253421</v>
      </c>
      <c r="H38" s="38" t="n">
        <f aca="false">IF(D$11=0,0,D38/D$11)</f>
        <v>-0.0659668242647648</v>
      </c>
      <c r="I38" s="38" t="n">
        <f aca="false">IF(E$11=0,0,E38/E$11)</f>
        <v>-0.0672390933771071</v>
      </c>
      <c r="K38" s="38" t="n">
        <f aca="false">IF(C38=0,0,D38/C38-1)</f>
        <v>0.0532241555783009</v>
      </c>
      <c r="L38" s="38" t="n">
        <f aca="false">IF(D38=0,0,E38/D38-1)</f>
        <v>0.0349854227405249</v>
      </c>
    </row>
    <row r="39" customFormat="false" ht="15" hidden="false" customHeight="false" outlineLevel="0" collapsed="false">
      <c r="B39" s="31" t="s">
        <v>147</v>
      </c>
      <c r="C39" s="46" t="n">
        <f aca="false">C36+C37+C38-C17</f>
        <v>0</v>
      </c>
      <c r="D39" s="46" t="n">
        <f aca="false">D36+D37+D38-D17</f>
        <v>0</v>
      </c>
      <c r="E39" s="46" t="n">
        <f aca="false">E36+E37+E38-E17</f>
        <v>0</v>
      </c>
    </row>
    <row r="40" customFormat="false" ht="15" hidden="false" customHeight="false" outlineLevel="0" collapsed="false">
      <c r="B40" s="31" t="s">
        <v>148</v>
      </c>
      <c r="C40" s="42" t="n">
        <f aca="false">C36/C7</f>
        <v>0.404631198463798</v>
      </c>
      <c r="D40" s="42" t="n">
        <f aca="false">D36/D7</f>
        <v>0.337592861319876</v>
      </c>
      <c r="E40" s="42" t="n">
        <f aca="false">E36/E7</f>
        <v>0.4545092198284</v>
      </c>
    </row>
    <row r="41" customFormat="false" ht="15" hidden="false" customHeight="false" outlineLevel="0" collapsed="false">
      <c r="B41" s="31" t="s">
        <v>149</v>
      </c>
      <c r="C41" s="42" t="n">
        <f aca="false">C37/C8</f>
        <v>0.096325513805273</v>
      </c>
      <c r="D41" s="42" t="n">
        <f aca="false">D37/D8</f>
        <v>0.13585590617146</v>
      </c>
      <c r="E41" s="42" t="n">
        <f aca="false">E37/E8</f>
        <v>0.0772730555354951</v>
      </c>
    </row>
    <row r="42" customFormat="false" ht="15" hidden="false" customHeight="false" outlineLevel="0" collapsed="false">
      <c r="B42" s="31" t="s">
        <v>150</v>
      </c>
      <c r="C42" s="42" t="n">
        <f aca="false">C7/C9</f>
        <v>0.753883098303699</v>
      </c>
      <c r="D42" s="42" t="n">
        <f aca="false">D7/D9</f>
        <v>0.76322010083478</v>
      </c>
      <c r="E42" s="42" t="n">
        <f aca="false">E7/E9</f>
        <v>0.774904089992847</v>
      </c>
    </row>
    <row r="44" customFormat="false" ht="15" hidden="false" customHeight="false" outlineLevel="0" collapsed="false">
      <c r="B44" s="29" t="s">
        <v>151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</row>
    <row r="45" customFormat="false" ht="15" hidden="false" customHeight="false" outlineLevel="0" collapsed="false">
      <c r="B45" s="31" t="s">
        <v>152</v>
      </c>
      <c r="C45" s="37" t="n">
        <v>19240</v>
      </c>
      <c r="D45" s="37" t="n">
        <v>20823</v>
      </c>
      <c r="E45" s="37" t="n">
        <v>21833</v>
      </c>
      <c r="G45" s="38" t="n">
        <f aca="false">IF(C$11=0,0,C45/C$11)</f>
        <v>0.318326963485052</v>
      </c>
      <c r="H45" s="38" t="n">
        <f aca="false">IF(D$11=0,0,D45/D$11)</f>
        <v>0.333728664155782</v>
      </c>
      <c r="I45" s="38" t="n">
        <f aca="false">IF(E$11=0,0,E45/E$11)</f>
        <v>0.344608245470042</v>
      </c>
      <c r="K45" s="38" t="n">
        <f aca="false">IF(C45=0,0,D45/C45-1)</f>
        <v>0.0822765072765073</v>
      </c>
      <c r="L45" s="38" t="n">
        <f aca="false">IF(D45=0,0,E45/D45-1)</f>
        <v>0.0485040580127742</v>
      </c>
      <c r="M45" s="39" t="s">
        <v>153</v>
      </c>
    </row>
    <row r="46" customFormat="false" ht="15" hidden="false" customHeight="false" outlineLevel="0" collapsed="false">
      <c r="B46" s="31" t="s">
        <v>154</v>
      </c>
      <c r="C46" s="37" t="n">
        <v>2423</v>
      </c>
      <c r="D46" s="37" t="n">
        <v>2358</v>
      </c>
      <c r="E46" s="37" t="n">
        <v>2410</v>
      </c>
      <c r="G46" s="38" t="n">
        <f aca="false">IF(C$11=0,0,C46/C$11)</f>
        <v>0.040088681524131</v>
      </c>
      <c r="H46" s="38" t="n">
        <f aca="false">IF(D$11=0,0,D46/D$11)</f>
        <v>0.0377914897027005</v>
      </c>
      <c r="I46" s="38" t="n">
        <f aca="false">IF(E$11=0,0,E46/E$11)</f>
        <v>0.0380390176147484</v>
      </c>
      <c r="K46" s="38" t="n">
        <f aca="false">IF(C46=0,0,D46/C46-1)</f>
        <v>-0.0268262484523318</v>
      </c>
      <c r="L46" s="38" t="n">
        <f aca="false">IF(D46=0,0,E46/D46-1)</f>
        <v>0.0220525869380832</v>
      </c>
      <c r="M46" s="39" t="s">
        <v>155</v>
      </c>
    </row>
    <row r="47" customFormat="false" ht="15" hidden="false" customHeight="false" outlineLevel="0" collapsed="false">
      <c r="B47" s="31" t="s">
        <v>156</v>
      </c>
      <c r="C47" s="37" t="n">
        <v>325</v>
      </c>
      <c r="D47" s="37" t="n">
        <v>323</v>
      </c>
      <c r="E47" s="37" t="n">
        <v>300</v>
      </c>
      <c r="G47" s="38" t="n">
        <f aca="false">IF(C$11=0,0,C47/C$11)</f>
        <v>0.00537714465346371</v>
      </c>
      <c r="H47" s="38" t="n">
        <f aca="false">IF(D$11=0,0,D47/D$11)</f>
        <v>0.00517669685070919</v>
      </c>
      <c r="I47" s="38" t="n">
        <f aca="false">IF(E$11=0,0,E47/E$11)</f>
        <v>0.00473514742092304</v>
      </c>
      <c r="K47" s="38" t="n">
        <f aca="false">IF(C47=0,0,D47/C47-1)</f>
        <v>-0.00615384615384618</v>
      </c>
      <c r="L47" s="38" t="n">
        <f aca="false">IF(D47=0,0,E47/D47-1)</f>
        <v>-0.0712074303405573</v>
      </c>
      <c r="M47" s="39" t="s">
        <v>155</v>
      </c>
    </row>
    <row r="48" customFormat="false" ht="15" hidden="false" customHeight="false" outlineLevel="0" collapsed="false">
      <c r="B48" s="31" t="s">
        <v>157</v>
      </c>
      <c r="C48" s="37" t="n">
        <v>716</v>
      </c>
      <c r="D48" s="37" t="n">
        <v>742</v>
      </c>
      <c r="E48" s="37" t="n">
        <v>676</v>
      </c>
      <c r="G48" s="38" t="n">
        <f aca="false">IF(C$11=0,0,C48/C$11)</f>
        <v>0.0118462632980924</v>
      </c>
      <c r="H48" s="38" t="n">
        <f aca="false">IF(D$11=0,0,D48/D$11)</f>
        <v>0.0118919785239202</v>
      </c>
      <c r="I48" s="38" t="n">
        <f aca="false">IF(E$11=0,0,E48/E$11)</f>
        <v>0.0106698655218132</v>
      </c>
      <c r="K48" s="38" t="n">
        <f aca="false">IF(C48=0,0,D48/C48-1)</f>
        <v>0.0363128491620113</v>
      </c>
      <c r="L48" s="38" t="n">
        <f aca="false">IF(D48=0,0,E48/D48-1)</f>
        <v>-0.0889487870619946</v>
      </c>
      <c r="M48" s="39" t="s">
        <v>155</v>
      </c>
    </row>
    <row r="49" customFormat="false" ht="15" hidden="false" customHeight="false" outlineLevel="0" collapsed="false">
      <c r="B49" s="40" t="s">
        <v>158</v>
      </c>
      <c r="C49" s="41" t="n">
        <f aca="false">C46+C47+C48</f>
        <v>3464</v>
      </c>
      <c r="D49" s="41" t="n">
        <f aca="false">D46+D47+D48</f>
        <v>3423</v>
      </c>
      <c r="E49" s="41" t="n">
        <f aca="false">E46+E47+E48</f>
        <v>3386</v>
      </c>
      <c r="G49" s="38" t="n">
        <f aca="false">IF(C$11=0,0,C49/C$11)</f>
        <v>0.057312089475687</v>
      </c>
      <c r="H49" s="38" t="n">
        <f aca="false">IF(D$11=0,0,D49/D$11)</f>
        <v>0.0548601650773299</v>
      </c>
      <c r="I49" s="38" t="n">
        <f aca="false">IF(E$11=0,0,E49/E$11)</f>
        <v>0.0534440305574847</v>
      </c>
      <c r="K49" s="38" t="n">
        <f aca="false">IF(C49=0,0,D49/C49-1)</f>
        <v>-0.0118360277136259</v>
      </c>
      <c r="L49" s="38" t="n">
        <f aca="false">IF(D49=0,0,E49/D49-1)</f>
        <v>-0.0108092316681274</v>
      </c>
    </row>
    <row r="50" customFormat="false" ht="15" hidden="false" customHeight="false" outlineLevel="0" collapsed="false">
      <c r="B50" s="31" t="s">
        <v>159</v>
      </c>
      <c r="C50" s="37" t="n">
        <v>591</v>
      </c>
      <c r="D50" s="37" t="n">
        <v>3209</v>
      </c>
      <c r="E50" s="37" t="n">
        <v>40</v>
      </c>
      <c r="G50" s="38" t="n">
        <f aca="false">IF(C$11=0,0,C50/C$11)</f>
        <v>0.00977813073906785</v>
      </c>
      <c r="H50" s="38" t="n">
        <f aca="false">IF(D$11=0,0,D50/D$11)</f>
        <v>0.0514304030771696</v>
      </c>
      <c r="I50" s="38" t="n">
        <f aca="false">IF(E$11=0,0,E50/E$11)</f>
        <v>0.000631352989456405</v>
      </c>
      <c r="K50" s="38" t="n">
        <f aca="false">IF(C50=0,0,D50/C50-1)</f>
        <v>4.42978003384095</v>
      </c>
      <c r="L50" s="38" t="n">
        <f aca="false">IF(D50=0,0,E50/D50-1)</f>
        <v>-0.987535057650358</v>
      </c>
      <c r="M50" s="39" t="s">
        <v>155</v>
      </c>
    </row>
    <row r="51" customFormat="false" ht="15" hidden="false" customHeight="false" outlineLevel="0" collapsed="false">
      <c r="B51" s="31" t="s">
        <v>160</v>
      </c>
      <c r="C51" s="37" t="n">
        <v>608</v>
      </c>
      <c r="D51" s="37" t="n">
        <v>1443</v>
      </c>
      <c r="E51" s="37" t="n">
        <v>316</v>
      </c>
      <c r="G51" s="38" t="n">
        <f aca="false">IF(C$11=0,0,C51/C$11)</f>
        <v>0.0100593967670952</v>
      </c>
      <c r="H51" s="38" t="n">
        <f aca="false">IF(D$11=0,0,D51/D$11)</f>
        <v>0.0231268531132302</v>
      </c>
      <c r="I51" s="38" t="n">
        <f aca="false">IF(E$11=0,0,E51/E$11)</f>
        <v>0.0049876886167056</v>
      </c>
      <c r="K51" s="38" t="n">
        <f aca="false">IF(C51=0,0,D51/C51-1)</f>
        <v>1.37335526315789</v>
      </c>
      <c r="L51" s="38" t="n">
        <f aca="false">IF(D51=0,0,E51/D51-1)</f>
        <v>-0.781011781011781</v>
      </c>
      <c r="M51" s="39" t="s">
        <v>155</v>
      </c>
    </row>
    <row r="52" customFormat="false" ht="15" hidden="false" customHeight="false" outlineLevel="0" collapsed="false">
      <c r="B52" s="31" t="s">
        <v>161</v>
      </c>
      <c r="C52" s="37" t="n">
        <v>350</v>
      </c>
      <c r="D52" s="37" t="n">
        <v>627</v>
      </c>
      <c r="E52" s="37" t="n">
        <v>301</v>
      </c>
      <c r="G52" s="38" t="n">
        <f aca="false">IF(C$11=0,0,C52/C$11)</f>
        <v>0.00579077116526861</v>
      </c>
      <c r="H52" s="38" t="n">
        <f aca="false">IF(D$11=0,0,D52/D$11)</f>
        <v>0.0100488821219649</v>
      </c>
      <c r="I52" s="38" t="n">
        <f aca="false">IF(E$11=0,0,E52/E$11)</f>
        <v>0.00475093124565945</v>
      </c>
      <c r="K52" s="38" t="n">
        <f aca="false">IF(C52=0,0,D52/C52-1)</f>
        <v>0.791428571428571</v>
      </c>
      <c r="L52" s="38" t="n">
        <f aca="false">IF(D52=0,0,E52/D52-1)</f>
        <v>-0.519936204146731</v>
      </c>
      <c r="M52" s="39" t="s">
        <v>155</v>
      </c>
    </row>
    <row r="53" customFormat="false" ht="15" hidden="false" customHeight="false" outlineLevel="0" collapsed="false">
      <c r="B53" s="31" t="s">
        <v>162</v>
      </c>
      <c r="C53" s="37" t="n">
        <v>319</v>
      </c>
      <c r="D53" s="37" t="n">
        <v>138</v>
      </c>
      <c r="E53" s="37" t="n">
        <v>58</v>
      </c>
      <c r="G53" s="38" t="n">
        <f aca="false">IF(C$11=0,0,C53/C$11)</f>
        <v>0.00527787429063053</v>
      </c>
      <c r="H53" s="38" t="n">
        <f aca="false">IF(D$11=0,0,D53/D$11)</f>
        <v>0.00221171568234634</v>
      </c>
      <c r="I53" s="38" t="n">
        <f aca="false">IF(E$11=0,0,E53/E$11)</f>
        <v>0.000915461834711787</v>
      </c>
      <c r="K53" s="38" t="n">
        <f aca="false">IF(C53=0,0,D53/C53-1)</f>
        <v>-0.567398119122257</v>
      </c>
      <c r="L53" s="38" t="n">
        <f aca="false">IF(D53=0,0,E53/D53-1)</f>
        <v>-0.579710144927536</v>
      </c>
      <c r="M53" s="39" t="s">
        <v>155</v>
      </c>
    </row>
    <row r="54" customFormat="false" ht="15" hidden="false" customHeight="false" outlineLevel="0" collapsed="false">
      <c r="B54" s="40" t="s">
        <v>163</v>
      </c>
      <c r="C54" s="41" t="n">
        <f aca="false">SUM(C50:C53)</f>
        <v>1868</v>
      </c>
      <c r="D54" s="41" t="n">
        <f aca="false">SUM(D50:D53)</f>
        <v>5417</v>
      </c>
      <c r="E54" s="41" t="n">
        <f aca="false">SUM(E50:E53)</f>
        <v>715</v>
      </c>
      <c r="G54" s="38" t="n">
        <f aca="false">IF(C$11=0,0,C54/C$11)</f>
        <v>0.0309061729620622</v>
      </c>
      <c r="H54" s="38" t="n">
        <f aca="false">IF(D$11=0,0,D54/D$11)</f>
        <v>0.0868178539947111</v>
      </c>
      <c r="I54" s="38" t="n">
        <f aca="false">IF(E$11=0,0,E54/E$11)</f>
        <v>0.0112854346865332</v>
      </c>
      <c r="K54" s="38" t="n">
        <f aca="false">IF(C54=0,0,D54/C54-1)</f>
        <v>1.89989293361884</v>
      </c>
      <c r="L54" s="38" t="n">
        <f aca="false">IF(D54=0,0,E54/D54-1)</f>
        <v>-0.868008122577072</v>
      </c>
    </row>
    <row r="55" customFormat="false" ht="15" hidden="false" customHeight="false" outlineLevel="0" collapsed="false">
      <c r="B55" s="31" t="s">
        <v>164</v>
      </c>
      <c r="C55" s="37" t="n">
        <v>830</v>
      </c>
      <c r="D55" s="37" t="n">
        <v>855</v>
      </c>
      <c r="E55" s="37" t="n">
        <v>857</v>
      </c>
      <c r="G55" s="38" t="n">
        <f aca="false">IF(C$11=0,0,C55/C$11)</f>
        <v>0.0137324001919227</v>
      </c>
      <c r="H55" s="38" t="n">
        <f aca="false">IF(D$11=0,0,D55/D$11)</f>
        <v>0.0137030210754067</v>
      </c>
      <c r="I55" s="38" t="n">
        <f aca="false">IF(E$11=0,0,E55/E$11)</f>
        <v>0.0135267377991035</v>
      </c>
      <c r="K55" s="38" t="n">
        <f aca="false">IF(C55=0,0,D55/C55-1)</f>
        <v>0.0301204819277108</v>
      </c>
      <c r="L55" s="38" t="n">
        <f aca="false">IF(D55=0,0,E55/D55-1)</f>
        <v>0.00233918128654964</v>
      </c>
      <c r="M55" s="39" t="s">
        <v>165</v>
      </c>
    </row>
    <row r="56" customFormat="false" ht="15" hidden="false" customHeight="false" outlineLevel="0" collapsed="false">
      <c r="B56" s="40" t="s">
        <v>166</v>
      </c>
      <c r="C56" s="41" t="n">
        <f aca="false">C45+C46+C47</f>
        <v>21988</v>
      </c>
      <c r="D56" s="41" t="n">
        <f aca="false">D45+D46+D47</f>
        <v>23504</v>
      </c>
      <c r="E56" s="41" t="n">
        <f aca="false">E45+E46+E47</f>
        <v>24543</v>
      </c>
      <c r="G56" s="38" t="n">
        <f aca="false">IF(C$11=0,0,C56/C$11)</f>
        <v>0.363792789662646</v>
      </c>
      <c r="H56" s="38" t="n">
        <f aca="false">IF(D$11=0,0,D56/D$11)</f>
        <v>0.376696850709191</v>
      </c>
      <c r="I56" s="38" t="n">
        <f aca="false">IF(E$11=0,0,E56/E$11)</f>
        <v>0.387382410505714</v>
      </c>
      <c r="K56" s="38" t="n">
        <f aca="false">IF(C56=0,0,D56/C56-1)</f>
        <v>0.0689466981990177</v>
      </c>
      <c r="L56" s="38" t="n">
        <f aca="false">IF(D56=0,0,E56/D56-1)</f>
        <v>0.0442052416609939</v>
      </c>
    </row>
    <row r="57" customFormat="false" ht="15" hidden="false" customHeight="false" outlineLevel="0" collapsed="false">
      <c r="B57" s="31" t="s">
        <v>167</v>
      </c>
      <c r="C57" s="42" t="n">
        <f aca="false">C56/C11</f>
        <v>0.363792789662646</v>
      </c>
      <c r="D57" s="42" t="n">
        <f aca="false">D56/D11</f>
        <v>0.376696850709191</v>
      </c>
      <c r="E57" s="42" t="n">
        <f aca="false">E56/E11</f>
        <v>0.387382410505714</v>
      </c>
    </row>
    <row r="58" customFormat="false" ht="15" hidden="false" customHeight="false" outlineLevel="0" collapsed="false">
      <c r="B58" s="31" t="s">
        <v>168</v>
      </c>
      <c r="C58" s="46" t="n">
        <f aca="false">C17+C49+C54</f>
        <v>20727</v>
      </c>
      <c r="D58" s="46" t="n">
        <f aca="false">D17+D49+D54</f>
        <v>22257</v>
      </c>
      <c r="E58" s="46" t="n">
        <f aca="false">E17+E49+E54</f>
        <v>22577</v>
      </c>
      <c r="G58" s="38" t="n">
        <f aca="false">IF(C$11=0,0,C58/C$11)</f>
        <v>0.342929468407207</v>
      </c>
      <c r="H58" s="38" t="n">
        <f aca="false">IF(D$11=0,0,D58/D$11)</f>
        <v>0.356711274941902</v>
      </c>
      <c r="I58" s="38" t="n">
        <f aca="false">IF(E$11=0,0,E58/E$11)</f>
        <v>0.356351411073931</v>
      </c>
      <c r="K58" s="38" t="n">
        <f aca="false">IF(C58=0,0,D58/C58-1)</f>
        <v>0.0738167607468518</v>
      </c>
      <c r="L58" s="38" t="n">
        <f aca="false">IF(D58=0,0,E58/D58-1)</f>
        <v>0.0143774992137304</v>
      </c>
    </row>
    <row r="59" customFormat="false" ht="15" hidden="false" customHeight="false" outlineLevel="0" collapsed="false">
      <c r="B59" s="31" t="s">
        <v>169</v>
      </c>
      <c r="C59" s="42" t="n">
        <f aca="false">C45/C11</f>
        <v>0.318326963485052</v>
      </c>
      <c r="D59" s="42" t="n">
        <f aca="false">D45/D11</f>
        <v>0.333728664155782</v>
      </c>
      <c r="E59" s="42" t="n">
        <f aca="false">E45/E11</f>
        <v>0.344608245470042</v>
      </c>
    </row>
    <row r="60" customFormat="false" ht="15" hidden="false" customHeight="false" outlineLevel="0" collapsed="false">
      <c r="B60" s="31" t="s">
        <v>170</v>
      </c>
      <c r="C60" s="37" t="n">
        <v>797</v>
      </c>
      <c r="D60" s="37" t="n">
        <v>1199</v>
      </c>
      <c r="E60" s="37" t="n">
        <v>1137</v>
      </c>
      <c r="K60" s="38" t="n">
        <f aca="false">IF(C60=0,0,D60/C60-1)</f>
        <v>0.504391468005019</v>
      </c>
      <c r="L60" s="38" t="n">
        <f aca="false">IF(D60=0,0,E60/D60-1)</f>
        <v>-0.0517097581317765</v>
      </c>
      <c r="M60" s="39" t="s">
        <v>171</v>
      </c>
    </row>
    <row r="62" customFormat="false" ht="15" hidden="false" customHeight="false" outlineLevel="0" collapsed="false">
      <c r="B62" s="29" t="s">
        <v>172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</row>
    <row r="63" customFormat="false" ht="15" hidden="false" customHeight="false" outlineLevel="0" collapsed="false">
      <c r="B63" s="31" t="s">
        <v>173</v>
      </c>
      <c r="D63" s="42" t="n">
        <f aca="false">C17/C11</f>
        <v>0.254711205969458</v>
      </c>
      <c r="E63" s="42" t="n">
        <f aca="false">D17/D11</f>
        <v>0.215033255869861</v>
      </c>
    </row>
    <row r="64" customFormat="false" ht="15" hidden="false" customHeight="false" outlineLevel="0" collapsed="false">
      <c r="B64" s="47" t="s">
        <v>174</v>
      </c>
      <c r="D64" s="42" t="n">
        <f aca="false">D12/D11-C12/C11</f>
        <v>0.0096611305520764</v>
      </c>
      <c r="E64" s="42" t="n">
        <f aca="false">E12/E11-D12/D11</f>
        <v>-0.00175533914591258</v>
      </c>
    </row>
    <row r="65" customFormat="false" ht="15" hidden="false" customHeight="false" outlineLevel="0" collapsed="false">
      <c r="B65" s="47" t="s">
        <v>175</v>
      </c>
      <c r="D65" s="42" t="n">
        <f aca="false">D14/D11-C14/C11</f>
        <v>-0.0103362050819789</v>
      </c>
      <c r="E65" s="42" t="n">
        <f aca="false">E14/E11-D14/D11</f>
        <v>0.0345304359066144</v>
      </c>
    </row>
    <row r="66" customFormat="false" ht="15" hidden="false" customHeight="false" outlineLevel="0" collapsed="false">
      <c r="B66" s="47" t="s">
        <v>176</v>
      </c>
      <c r="D66" s="42" t="n">
        <f aca="false">D15/D11-C15/C11</f>
        <v>0.00746996659521929</v>
      </c>
      <c r="E66" s="42" t="n">
        <f aca="false">E15/E11-D15/D11</f>
        <v>-0.000561488537184157</v>
      </c>
    </row>
    <row r="67" customFormat="false" ht="15" hidden="false" customHeight="false" outlineLevel="0" collapsed="false">
      <c r="B67" s="47" t="s">
        <v>177</v>
      </c>
      <c r="D67" s="42" t="n">
        <f aca="false">D16/D11-C16/C11</f>
        <v>-0.0464728421649133</v>
      </c>
      <c r="E67" s="42" t="n">
        <f aca="false">E16/E11-D16/D11</f>
        <v>0.0443750817365345</v>
      </c>
    </row>
    <row r="68" customFormat="false" ht="15" hidden="false" customHeight="false" outlineLevel="0" collapsed="false">
      <c r="B68" s="40" t="s">
        <v>178</v>
      </c>
      <c r="C68" s="48"/>
      <c r="D68" s="49" t="n">
        <f aca="false">SUM(D63:D67)</f>
        <v>0.215033255869861</v>
      </c>
      <c r="E68" s="49" t="n">
        <f aca="false">SUM(E63:E67)</f>
        <v>0.291621945829914</v>
      </c>
    </row>
    <row r="69" customFormat="false" ht="15" hidden="false" customHeight="false" outlineLevel="0" collapsed="false">
      <c r="B69" s="50" t="s">
        <v>179</v>
      </c>
      <c r="D69" s="38" t="n">
        <f aca="false">D68-D17/D11</f>
        <v>0</v>
      </c>
      <c r="E69" s="38" t="n">
        <f aca="false">E68-E17/E11</f>
        <v>0</v>
      </c>
    </row>
    <row r="71" customFormat="false" ht="15" hidden="false" customHeight="false" outlineLevel="0" collapsed="false">
      <c r="B71" s="29" t="s">
        <v>180</v>
      </c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</row>
    <row r="72" customFormat="false" ht="15" hidden="false" customHeight="false" outlineLevel="0" collapsed="false">
      <c r="B72" s="31" t="s">
        <v>181</v>
      </c>
      <c r="C72" s="37" t="n">
        <v>21724</v>
      </c>
      <c r="D72" s="37" t="n">
        <v>22557</v>
      </c>
      <c r="E72" s="37" t="n">
        <v>21949</v>
      </c>
    </row>
    <row r="73" customFormat="false" ht="15" hidden="false" customHeight="false" outlineLevel="0" collapsed="false">
      <c r="B73" s="31" t="s">
        <v>182</v>
      </c>
      <c r="C73" s="37" t="n">
        <v>1215</v>
      </c>
      <c r="D73" s="37" t="n">
        <v>1183</v>
      </c>
      <c r="E73" s="37" t="n">
        <v>985</v>
      </c>
    </row>
    <row r="74" customFormat="false" ht="15" hidden="false" customHeight="false" outlineLevel="0" collapsed="false">
      <c r="B74" s="31" t="s">
        <v>183</v>
      </c>
      <c r="C74" s="37" t="n">
        <v>9390</v>
      </c>
      <c r="D74" s="37" t="n">
        <v>7876</v>
      </c>
      <c r="E74" s="37" t="n">
        <v>7492</v>
      </c>
    </row>
    <row r="75" customFormat="false" ht="15" hidden="false" customHeight="false" outlineLevel="0" collapsed="false">
      <c r="B75" s="31" t="s">
        <v>184</v>
      </c>
      <c r="C75" s="37" t="n">
        <v>14828</v>
      </c>
      <c r="D75" s="37" t="n">
        <v>17303</v>
      </c>
      <c r="E75" s="37" t="n">
        <v>19321</v>
      </c>
    </row>
    <row r="76" customFormat="false" ht="15" hidden="false" customHeight="false" outlineLevel="0" collapsed="false">
      <c r="B76" s="31" t="s">
        <v>185</v>
      </c>
      <c r="C76" s="37" t="n">
        <v>6882</v>
      </c>
      <c r="D76" s="37" t="n">
        <v>8569</v>
      </c>
      <c r="E76" s="37" t="n">
        <v>8411</v>
      </c>
    </row>
    <row r="77" customFormat="false" ht="15" hidden="false" customHeight="false" outlineLevel="0" collapsed="false">
      <c r="B77" s="31" t="s">
        <v>186</v>
      </c>
      <c r="C77" s="37" t="n">
        <v>1019</v>
      </c>
      <c r="D77" s="37" t="n">
        <v>2256</v>
      </c>
      <c r="E77" s="37" t="n">
        <v>1791</v>
      </c>
    </row>
    <row r="78" customFormat="false" ht="15" hidden="false" customHeight="false" outlineLevel="0" collapsed="false">
      <c r="B78" s="31" t="s">
        <v>187</v>
      </c>
      <c r="C78" s="37" t="n">
        <v>1964</v>
      </c>
      <c r="D78" s="37" t="n">
        <v>2021</v>
      </c>
      <c r="E78" s="37" t="n">
        <v>2025</v>
      </c>
    </row>
    <row r="79" customFormat="false" ht="15" hidden="false" customHeight="false" outlineLevel="0" collapsed="false">
      <c r="B79" s="40" t="s">
        <v>188</v>
      </c>
      <c r="C79" s="41" t="n">
        <f aca="false">SUM(C72:C78)</f>
        <v>57022</v>
      </c>
      <c r="D79" s="41" t="n">
        <f aca="false">SUM(D72:D78)</f>
        <v>61765</v>
      </c>
      <c r="E79" s="41" t="n">
        <f aca="false">SUM(E72:E78)</f>
        <v>61974</v>
      </c>
    </row>
    <row r="80" customFormat="false" ht="15" hidden="false" customHeight="false" outlineLevel="0" collapsed="false">
      <c r="B80" s="31" t="s">
        <v>189</v>
      </c>
      <c r="C80" s="37" t="n">
        <v>7749</v>
      </c>
      <c r="D80" s="37" t="n">
        <v>7606</v>
      </c>
      <c r="E80" s="37" t="n">
        <v>7479</v>
      </c>
    </row>
    <row r="81" customFormat="false" ht="15" hidden="false" customHeight="false" outlineLevel="0" collapsed="false">
      <c r="B81" s="31" t="s">
        <v>190</v>
      </c>
      <c r="C81" s="37" t="n">
        <v>11021</v>
      </c>
      <c r="D81" s="37" t="n">
        <v>11297</v>
      </c>
      <c r="E81" s="37" t="n">
        <v>11506</v>
      </c>
    </row>
    <row r="82" customFormat="false" ht="15" hidden="false" customHeight="false" outlineLevel="0" collapsed="false">
      <c r="B82" s="31" t="s">
        <v>191</v>
      </c>
      <c r="C82" s="37" t="n">
        <v>344</v>
      </c>
      <c r="D82" s="37" t="n">
        <v>415</v>
      </c>
      <c r="E82" s="37" t="n">
        <v>393</v>
      </c>
    </row>
    <row r="83" customFormat="false" ht="15" hidden="false" customHeight="false" outlineLevel="0" collapsed="false">
      <c r="B83" s="31" t="s">
        <v>192</v>
      </c>
      <c r="C83" s="37" t="n">
        <v>3130</v>
      </c>
      <c r="D83" s="37" t="n">
        <v>3401</v>
      </c>
      <c r="E83" s="37" t="n">
        <v>3875</v>
      </c>
    </row>
    <row r="84" customFormat="false" ht="15" hidden="false" customHeight="false" outlineLevel="0" collapsed="false">
      <c r="B84" s="31" t="s">
        <v>193</v>
      </c>
      <c r="C84" s="37" t="n">
        <v>5134</v>
      </c>
      <c r="D84" s="37" t="n">
        <v>10342</v>
      </c>
      <c r="E84" s="37" t="n">
        <v>9894</v>
      </c>
    </row>
    <row r="85" customFormat="false" ht="15" hidden="false" customHeight="false" outlineLevel="0" collapsed="false">
      <c r="B85" s="31" t="s">
        <v>194</v>
      </c>
      <c r="C85" s="37" t="n">
        <v>5376</v>
      </c>
      <c r="D85" s="37" t="n">
        <v>6975</v>
      </c>
      <c r="E85" s="37" t="n">
        <v>5582</v>
      </c>
    </row>
    <row r="86" customFormat="false" ht="15" hidden="false" customHeight="false" outlineLevel="0" collapsed="false">
      <c r="B86" s="31" t="s">
        <v>195</v>
      </c>
      <c r="C86" s="37" t="n">
        <v>692</v>
      </c>
      <c r="D86" s="37" t="n">
        <v>0</v>
      </c>
      <c r="E86" s="37" t="n">
        <v>0</v>
      </c>
    </row>
    <row r="87" customFormat="false" ht="15" hidden="false" customHeight="false" outlineLevel="0" collapsed="false">
      <c r="B87" s="40" t="s">
        <v>196</v>
      </c>
      <c r="C87" s="41" t="n">
        <f aca="false">SUM(C80:C86)</f>
        <v>33446</v>
      </c>
      <c r="D87" s="41" t="n">
        <f aca="false">SUM(D80:D86)</f>
        <v>40036</v>
      </c>
      <c r="E87" s="41" t="n">
        <f aca="false">SUM(E80:E86)</f>
        <v>38729</v>
      </c>
    </row>
    <row r="88" customFormat="false" ht="15" hidden="false" customHeight="false" outlineLevel="0" collapsed="false">
      <c r="B88" s="40" t="s">
        <v>197</v>
      </c>
      <c r="C88" s="41" t="n">
        <f aca="false">C79+C87</f>
        <v>90468</v>
      </c>
      <c r="D88" s="41" t="n">
        <f aca="false">D79+D87</f>
        <v>101801</v>
      </c>
      <c r="E88" s="41" t="n">
        <f aca="false">E79+E87</f>
        <v>100703</v>
      </c>
    </row>
    <row r="89" customFormat="false" ht="15" hidden="false" customHeight="false" outlineLevel="0" collapsed="false">
      <c r="B89" s="31" t="s">
        <v>198</v>
      </c>
      <c r="C89" s="37" t="n">
        <v>24809</v>
      </c>
      <c r="D89" s="37" t="n">
        <v>30722</v>
      </c>
      <c r="E89" s="37" t="n">
        <v>27430</v>
      </c>
    </row>
    <row r="90" customFormat="false" ht="15" hidden="false" customHeight="false" outlineLevel="0" collapsed="false">
      <c r="B90" s="31" t="s">
        <v>199</v>
      </c>
      <c r="C90" s="37" t="n">
        <v>593</v>
      </c>
      <c r="D90" s="37" t="n">
        <v>832</v>
      </c>
      <c r="E90" s="37" t="n">
        <v>884</v>
      </c>
    </row>
    <row r="91" customFormat="false" ht="15" hidden="false" customHeight="false" outlineLevel="0" collapsed="false">
      <c r="B91" s="31" t="s">
        <v>200</v>
      </c>
      <c r="C91" s="37" t="n">
        <v>4379</v>
      </c>
      <c r="D91" s="37" t="n">
        <v>4381</v>
      </c>
      <c r="E91" s="37" t="n">
        <v>3950</v>
      </c>
    </row>
    <row r="92" customFormat="false" ht="15" hidden="false" customHeight="false" outlineLevel="0" collapsed="false">
      <c r="B92" s="31" t="s">
        <v>201</v>
      </c>
      <c r="C92" s="37" t="n">
        <v>1059</v>
      </c>
      <c r="D92" s="37" t="n">
        <v>1079</v>
      </c>
      <c r="E92" s="37" t="n">
        <v>1055</v>
      </c>
    </row>
    <row r="93" customFormat="false" ht="15" hidden="false" customHeight="false" outlineLevel="0" collapsed="false">
      <c r="B93" s="31" t="s">
        <v>202</v>
      </c>
      <c r="C93" s="37" t="n">
        <v>1541</v>
      </c>
      <c r="D93" s="37" t="n">
        <v>1603</v>
      </c>
      <c r="E93" s="37" t="n">
        <v>1503</v>
      </c>
    </row>
    <row r="94" customFormat="false" ht="15" hidden="false" customHeight="false" outlineLevel="0" collapsed="false">
      <c r="B94" s="40" t="s">
        <v>203</v>
      </c>
      <c r="C94" s="41" t="n">
        <f aca="false">SUM(C89:C93)</f>
        <v>32381</v>
      </c>
      <c r="D94" s="41" t="n">
        <f aca="false">SUM(D89:D93)</f>
        <v>38617</v>
      </c>
      <c r="E94" s="41" t="n">
        <f aca="false">SUM(E89:E93)</f>
        <v>34822</v>
      </c>
    </row>
    <row r="95" customFormat="false" ht="15" hidden="false" customHeight="false" outlineLevel="0" collapsed="false">
      <c r="B95" s="31" t="s">
        <v>204</v>
      </c>
      <c r="C95" s="37" t="n">
        <v>4400</v>
      </c>
      <c r="D95" s="37" t="n">
        <v>3932</v>
      </c>
      <c r="E95" s="37" t="n">
        <v>4206</v>
      </c>
    </row>
    <row r="96" customFormat="false" ht="15" hidden="false" customHeight="false" outlineLevel="0" collapsed="false">
      <c r="B96" s="31" t="s">
        <v>205</v>
      </c>
      <c r="C96" s="37" t="n">
        <v>2257</v>
      </c>
      <c r="D96" s="37" t="n">
        <v>2923</v>
      </c>
      <c r="E96" s="37" t="n">
        <v>2867</v>
      </c>
    </row>
    <row r="97" customFormat="false" ht="15" hidden="false" customHeight="false" outlineLevel="0" collapsed="false">
      <c r="B97" s="31" t="s">
        <v>206</v>
      </c>
      <c r="C97" s="37" t="n">
        <v>1684</v>
      </c>
      <c r="D97" s="37" t="n">
        <v>1726</v>
      </c>
      <c r="E97" s="37" t="n">
        <v>1743</v>
      </c>
    </row>
    <row r="98" customFormat="false" ht="15" hidden="false" customHeight="false" outlineLevel="0" collapsed="false">
      <c r="B98" s="31" t="s">
        <v>207</v>
      </c>
      <c r="C98" s="37" t="n">
        <v>4325</v>
      </c>
      <c r="D98" s="37" t="n">
        <v>4894</v>
      </c>
      <c r="E98" s="37" t="n">
        <v>5779</v>
      </c>
    </row>
    <row r="99" customFormat="false" ht="15" hidden="false" customHeight="false" outlineLevel="0" collapsed="false">
      <c r="B99" s="31" t="s">
        <v>208</v>
      </c>
      <c r="C99" s="37" t="n">
        <v>12150</v>
      </c>
      <c r="D99" s="37" t="n">
        <v>13548</v>
      </c>
      <c r="E99" s="37" t="n">
        <v>13406</v>
      </c>
    </row>
    <row r="100" customFormat="false" ht="15" hidden="false" customHeight="false" outlineLevel="0" collapsed="false">
      <c r="B100" s="31" t="s">
        <v>209</v>
      </c>
      <c r="C100" s="37" t="n">
        <v>8</v>
      </c>
      <c r="D100" s="37" t="n">
        <v>0</v>
      </c>
      <c r="E100" s="37" t="n">
        <v>0</v>
      </c>
    </row>
    <row r="101" customFormat="false" ht="15" hidden="false" customHeight="false" outlineLevel="0" collapsed="false">
      <c r="B101" s="40" t="s">
        <v>210</v>
      </c>
      <c r="C101" s="41" t="n">
        <f aca="false">SUM(C95:C100)</f>
        <v>24824</v>
      </c>
      <c r="D101" s="41" t="n">
        <f aca="false">SUM(D95:D100)</f>
        <v>27023</v>
      </c>
      <c r="E101" s="41" t="n">
        <f aca="false">SUM(E95:E100)</f>
        <v>28001</v>
      </c>
    </row>
    <row r="102" customFormat="false" ht="15" hidden="false" customHeight="false" outlineLevel="0" collapsed="false">
      <c r="B102" s="40" t="s">
        <v>211</v>
      </c>
      <c r="C102" s="41" t="n">
        <f aca="false">C94+C101</f>
        <v>57205</v>
      </c>
      <c r="D102" s="41" t="n">
        <f aca="false">D94+D101</f>
        <v>65640</v>
      </c>
      <c r="E102" s="41" t="n">
        <f aca="false">E94+E101</f>
        <v>62823</v>
      </c>
    </row>
    <row r="103" customFormat="false" ht="15" hidden="false" customHeight="false" outlineLevel="0" collapsed="false">
      <c r="B103" s="31" t="s">
        <v>212</v>
      </c>
      <c r="C103" s="37" t="n">
        <v>29315</v>
      </c>
      <c r="D103" s="37" t="n">
        <v>31767</v>
      </c>
      <c r="E103" s="37" t="n">
        <v>33802</v>
      </c>
    </row>
    <row r="104" customFormat="false" ht="15" hidden="false" customHeight="false" outlineLevel="0" collapsed="false">
      <c r="B104" s="31" t="s">
        <v>213</v>
      </c>
      <c r="C104" s="37" t="n">
        <v>3948</v>
      </c>
      <c r="D104" s="37" t="n">
        <v>4394</v>
      </c>
      <c r="E104" s="37" t="n">
        <v>4078</v>
      </c>
    </row>
    <row r="105" customFormat="false" ht="15" hidden="false" customHeight="false" outlineLevel="0" collapsed="false">
      <c r="B105" s="40" t="s">
        <v>214</v>
      </c>
      <c r="C105" s="41" t="n">
        <f aca="false">C103+C104</f>
        <v>33263</v>
      </c>
      <c r="D105" s="41" t="n">
        <f aca="false">D103+D104</f>
        <v>36161</v>
      </c>
      <c r="E105" s="41" t="n">
        <f aca="false">E103+E104</f>
        <v>37880</v>
      </c>
    </row>
    <row r="106" customFormat="false" ht="15" hidden="false" customHeight="false" outlineLevel="0" collapsed="false">
      <c r="B106" s="40" t="s">
        <v>215</v>
      </c>
      <c r="C106" s="41" t="n">
        <f aca="false">C102+C105</f>
        <v>90468</v>
      </c>
      <c r="D106" s="41" t="n">
        <f aca="false">D102+D105</f>
        <v>101801</v>
      </c>
      <c r="E106" s="41" t="n">
        <f aca="false">E102+E105</f>
        <v>100703</v>
      </c>
    </row>
    <row r="107" customFormat="false" ht="15" hidden="false" customHeight="false" outlineLevel="0" collapsed="false">
      <c r="B107" s="40" t="s">
        <v>216</v>
      </c>
      <c r="C107" s="51" t="n">
        <f aca="false">C88-C106</f>
        <v>0</v>
      </c>
      <c r="D107" s="51" t="n">
        <f aca="false">D88-D106</f>
        <v>0</v>
      </c>
      <c r="E107" s="51" t="n">
        <f aca="false">E88-E106</f>
        <v>0</v>
      </c>
    </row>
    <row r="109" customFormat="false" ht="15" hidden="false" customHeight="false" outlineLevel="0" collapsed="false">
      <c r="B109" s="29" t="s">
        <v>217</v>
      </c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</row>
    <row r="110" customFormat="false" ht="15" hidden="false" customHeight="false" outlineLevel="0" collapsed="false">
      <c r="B110" s="31" t="s">
        <v>218</v>
      </c>
      <c r="C110" s="37" t="n">
        <v>1573</v>
      </c>
      <c r="D110" s="37" t="n">
        <v>1700</v>
      </c>
      <c r="E110" s="37" t="n">
        <v>1555</v>
      </c>
      <c r="M110" s="39" t="s">
        <v>219</v>
      </c>
    </row>
    <row r="111" customFormat="false" ht="15" hidden="false" customHeight="false" outlineLevel="0" collapsed="false">
      <c r="B111" s="31" t="s">
        <v>220</v>
      </c>
      <c r="C111" s="46" t="n">
        <f aca="false">C89+C95</f>
        <v>29209</v>
      </c>
      <c r="D111" s="46" t="n">
        <f aca="false">D89+D95</f>
        <v>34654</v>
      </c>
      <c r="E111" s="46" t="n">
        <f aca="false">E89+E95</f>
        <v>31636</v>
      </c>
    </row>
    <row r="112" customFormat="false" ht="15" hidden="false" customHeight="false" outlineLevel="0" collapsed="false">
      <c r="B112" s="40" t="s">
        <v>221</v>
      </c>
      <c r="C112" s="51" t="n">
        <f aca="false">C111+C110</f>
        <v>30782</v>
      </c>
      <c r="D112" s="51" t="n">
        <f aca="false">D111+D110</f>
        <v>36354</v>
      </c>
      <c r="E112" s="51" t="n">
        <f aca="false">E111+E110</f>
        <v>33191</v>
      </c>
    </row>
    <row r="113" customFormat="false" ht="15" hidden="false" customHeight="false" outlineLevel="0" collapsed="false">
      <c r="B113" s="31" t="s">
        <v>222</v>
      </c>
      <c r="C113" s="46" t="n">
        <f aca="false">C85+C84</f>
        <v>10510</v>
      </c>
      <c r="D113" s="46" t="n">
        <f aca="false">D85+D84</f>
        <v>17317</v>
      </c>
      <c r="E113" s="46" t="n">
        <f aca="false">E85+E84</f>
        <v>15476</v>
      </c>
    </row>
    <row r="114" customFormat="false" ht="15" hidden="false" customHeight="false" outlineLevel="0" collapsed="false">
      <c r="B114" s="40" t="s">
        <v>223</v>
      </c>
      <c r="C114" s="51" t="n">
        <f aca="false">C111-C113</f>
        <v>18699</v>
      </c>
      <c r="D114" s="51" t="n">
        <f aca="false">D111-D113</f>
        <v>17337</v>
      </c>
      <c r="E114" s="51" t="n">
        <f aca="false">E111-E113</f>
        <v>16160</v>
      </c>
    </row>
    <row r="115" customFormat="false" ht="15" hidden="false" customHeight="false" outlineLevel="0" collapsed="false">
      <c r="B115" s="31" t="s">
        <v>224</v>
      </c>
      <c r="C115" s="37" t="n">
        <v>18699</v>
      </c>
      <c r="D115" s="37" t="n">
        <v>17337</v>
      </c>
      <c r="E115" s="37" t="n">
        <v>16160</v>
      </c>
      <c r="M115" s="39" t="s">
        <v>225</v>
      </c>
    </row>
    <row r="116" customFormat="false" ht="15" hidden="false" customHeight="false" outlineLevel="0" collapsed="false">
      <c r="B116" s="31" t="s">
        <v>226</v>
      </c>
      <c r="C116" s="46" t="n">
        <f aca="false">C114-C115</f>
        <v>0</v>
      </c>
      <c r="D116" s="46" t="n">
        <f aca="false">D114-D115</f>
        <v>0</v>
      </c>
      <c r="E116" s="46" t="n">
        <f aca="false">E114-E115</f>
        <v>0</v>
      </c>
    </row>
    <row r="117" customFormat="false" ht="15" hidden="false" customHeight="false" outlineLevel="0" collapsed="false">
      <c r="B117" s="31" t="s">
        <v>227</v>
      </c>
      <c r="C117" s="46" t="n">
        <f aca="false">C91-C77</f>
        <v>3360</v>
      </c>
      <c r="D117" s="46" t="n">
        <f aca="false">D91-D77</f>
        <v>2125</v>
      </c>
      <c r="E117" s="46" t="n">
        <f aca="false">E91-E77</f>
        <v>2159</v>
      </c>
    </row>
    <row r="118" customFormat="false" ht="15" hidden="false" customHeight="false" outlineLevel="0" collapsed="false">
      <c r="B118" s="40" t="s">
        <v>228</v>
      </c>
      <c r="C118" s="51" t="n">
        <f aca="false">C81+C80-C98</f>
        <v>14445</v>
      </c>
      <c r="D118" s="51" t="n">
        <f aca="false">D81+D80-D98</f>
        <v>14009</v>
      </c>
      <c r="E118" s="51" t="n">
        <f aca="false">E81+E80-E98</f>
        <v>13206</v>
      </c>
    </row>
    <row r="119" customFormat="false" ht="15" hidden="false" customHeight="false" outlineLevel="0" collapsed="false">
      <c r="B119" s="31" t="s">
        <v>229</v>
      </c>
      <c r="C119" s="52" t="n">
        <f aca="false">C81/C11*365</f>
        <v>66.5552356843864</v>
      </c>
      <c r="D119" s="52" t="n">
        <f aca="false">D81/D11*365</f>
        <v>66.0855036461255</v>
      </c>
      <c r="E119" s="52" t="n">
        <f aca="false">E81/E11*365</f>
        <v>66.2871709072543</v>
      </c>
    </row>
    <row r="120" customFormat="false" ht="15" hidden="false" customHeight="false" outlineLevel="0" collapsed="false">
      <c r="B120" s="31" t="s">
        <v>230</v>
      </c>
      <c r="C120" s="52" t="n">
        <f aca="false">C80/-C12*365</f>
        <v>172.915876994559</v>
      </c>
      <c r="D120" s="52" t="n">
        <f aca="false">D80/-D12*365</f>
        <v>170.49622305472</v>
      </c>
      <c r="E120" s="52" t="n">
        <f aca="false">E80/-E12*365</f>
        <v>164.003304295584</v>
      </c>
    </row>
    <row r="121" customFormat="false" ht="15" hidden="false" customHeight="false" outlineLevel="0" collapsed="false">
      <c r="B121" s="31" t="s">
        <v>231</v>
      </c>
      <c r="C121" s="52" t="n">
        <f aca="false">C98/-C12*365</f>
        <v>96.5106682154429</v>
      </c>
      <c r="D121" s="52" t="n">
        <f aca="false">D98/-D12*365</f>
        <v>109.703985752011</v>
      </c>
      <c r="E121" s="52" t="n">
        <f aca="false">E98/-E12*365</f>
        <v>126.724842294983</v>
      </c>
    </row>
    <row r="123" customFormat="false" ht="15" hidden="false" customHeight="false" outlineLevel="0" collapsed="false">
      <c r="B123" s="29" t="s">
        <v>232</v>
      </c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</row>
    <row r="124" customFormat="false" ht="15" hidden="false" customHeight="false" outlineLevel="0" collapsed="false">
      <c r="B124" s="31" t="s">
        <v>233</v>
      </c>
      <c r="C124" s="37" t="n">
        <v>22617</v>
      </c>
      <c r="D124" s="37" t="n">
        <v>24332</v>
      </c>
      <c r="E124" s="37" t="n">
        <v>25524</v>
      </c>
    </row>
    <row r="125" customFormat="false" ht="15" hidden="false" customHeight="false" outlineLevel="0" collapsed="false">
      <c r="B125" s="31" t="s">
        <v>234</v>
      </c>
      <c r="C125" s="37" t="n">
        <v>-1107</v>
      </c>
      <c r="D125" s="37" t="n">
        <v>1161</v>
      </c>
      <c r="E125" s="37" t="n">
        <v>-1657</v>
      </c>
    </row>
    <row r="126" customFormat="false" ht="15" hidden="false" customHeight="false" outlineLevel="0" collapsed="false">
      <c r="B126" s="31" t="s">
        <v>235</v>
      </c>
      <c r="C126" s="37" t="n">
        <v>-743</v>
      </c>
      <c r="D126" s="37" t="n">
        <v>-661</v>
      </c>
      <c r="E126" s="37" t="n">
        <v>-654</v>
      </c>
    </row>
    <row r="127" customFormat="false" ht="15" hidden="false" customHeight="false" outlineLevel="0" collapsed="false">
      <c r="B127" s="31" t="s">
        <v>236</v>
      </c>
      <c r="C127" s="37" t="n">
        <v>-1052</v>
      </c>
      <c r="D127" s="37" t="n">
        <v>-1012</v>
      </c>
      <c r="E127" s="37" t="n">
        <v>-1222</v>
      </c>
    </row>
    <row r="128" customFormat="false" ht="15" hidden="false" customHeight="false" outlineLevel="0" collapsed="false">
      <c r="B128" s="31" t="s">
        <v>237</v>
      </c>
      <c r="C128" s="37" t="n">
        <v>0</v>
      </c>
      <c r="D128" s="37" t="n">
        <v>1</v>
      </c>
      <c r="E128" s="37" t="n">
        <v>0</v>
      </c>
    </row>
    <row r="129" customFormat="false" ht="15" hidden="false" customHeight="false" outlineLevel="0" collapsed="false">
      <c r="B129" s="31" t="s">
        <v>238</v>
      </c>
      <c r="C129" s="37" t="n">
        <v>-3620</v>
      </c>
      <c r="D129" s="37" t="n">
        <v>-3727</v>
      </c>
      <c r="E129" s="37" t="n">
        <v>-3139</v>
      </c>
    </row>
    <row r="130" customFormat="false" ht="15" hidden="false" customHeight="false" outlineLevel="0" collapsed="false">
      <c r="B130" s="40" t="s">
        <v>239</v>
      </c>
      <c r="C130" s="41" t="n">
        <f aca="false">SUM(C124:C129)</f>
        <v>16095</v>
      </c>
      <c r="D130" s="41" t="n">
        <f aca="false">SUM(D124:D129)</f>
        <v>20094</v>
      </c>
      <c r="E130" s="41" t="n">
        <f aca="false">SUM(E124:E129)</f>
        <v>18852</v>
      </c>
    </row>
    <row r="131" customFormat="false" ht="15" hidden="false" customHeight="false" outlineLevel="0" collapsed="false">
      <c r="B131" s="31" t="s">
        <v>240</v>
      </c>
      <c r="C131" s="37" t="n">
        <v>-3742</v>
      </c>
      <c r="D131" s="37" t="n">
        <v>-3529</v>
      </c>
      <c r="E131" s="37" t="n">
        <v>-3748</v>
      </c>
    </row>
    <row r="132" customFormat="false" ht="15" hidden="false" customHeight="false" outlineLevel="0" collapsed="false">
      <c r="B132" s="31" t="s">
        <v>241</v>
      </c>
      <c r="C132" s="37" t="n">
        <v>-907</v>
      </c>
      <c r="D132" s="37" t="n">
        <v>-1480</v>
      </c>
      <c r="E132" s="37" t="n">
        <v>-2031</v>
      </c>
    </row>
    <row r="133" customFormat="false" ht="15" hidden="false" customHeight="false" outlineLevel="0" collapsed="false">
      <c r="B133" s="40" t="s">
        <v>242</v>
      </c>
      <c r="C133" s="41" t="n">
        <f aca="false">C131+C132</f>
        <v>-4649</v>
      </c>
      <c r="D133" s="41" t="n">
        <f aca="false">D131+D132</f>
        <v>-5009</v>
      </c>
      <c r="E133" s="41" t="n">
        <f aca="false">E131+E132</f>
        <v>-5779</v>
      </c>
    </row>
    <row r="134" customFormat="false" ht="15" hidden="false" customHeight="false" outlineLevel="0" collapsed="false">
      <c r="B134" s="31" t="s">
        <v>243</v>
      </c>
      <c r="C134" s="37" t="n">
        <v>-10643</v>
      </c>
      <c r="D134" s="37" t="n">
        <v>-11393</v>
      </c>
      <c r="E134" s="37" t="n">
        <v>-8543</v>
      </c>
    </row>
    <row r="135" customFormat="false" ht="15" hidden="false" customHeight="false" outlineLevel="0" collapsed="false">
      <c r="B135" s="31" t="s">
        <v>244</v>
      </c>
      <c r="C135" s="46" t="n">
        <f aca="false">C134-C133</f>
        <v>-5994</v>
      </c>
      <c r="D135" s="46" t="n">
        <f aca="false">D134-D133</f>
        <v>-6384</v>
      </c>
      <c r="E135" s="46" t="n">
        <f aca="false">E134-E133</f>
        <v>-2764</v>
      </c>
    </row>
    <row r="136" customFormat="false" ht="15" hidden="false" customHeight="false" outlineLevel="0" collapsed="false">
      <c r="B136" s="31" t="s">
        <v>245</v>
      </c>
      <c r="C136" s="37" t="n">
        <v>-4239</v>
      </c>
      <c r="D136" s="37" t="n">
        <v>-6819</v>
      </c>
      <c r="E136" s="37" t="n">
        <v>-11368</v>
      </c>
    </row>
    <row r="137" customFormat="false" ht="15" hidden="false" customHeight="false" outlineLevel="0" collapsed="false">
      <c r="B137" s="31" t="s">
        <v>246</v>
      </c>
      <c r="C137" s="37" t="n">
        <v>-828</v>
      </c>
      <c r="D137" s="37" t="n">
        <v>-283</v>
      </c>
      <c r="E137" s="37" t="n">
        <v>-334</v>
      </c>
    </row>
    <row r="138" customFormat="false" ht="15" hidden="false" customHeight="false" outlineLevel="0" collapsed="false">
      <c r="B138" s="40" t="s">
        <v>247</v>
      </c>
      <c r="C138" s="41" t="n">
        <f aca="false">C130+C134+C136+C137</f>
        <v>385</v>
      </c>
      <c r="D138" s="41" t="n">
        <f aca="false">D130+D134+D136+D137</f>
        <v>1599</v>
      </c>
      <c r="E138" s="41" t="n">
        <f aca="false">E130+E134+E136+E137</f>
        <v>-1393</v>
      </c>
    </row>
    <row r="139" customFormat="false" ht="15" hidden="false" customHeight="false" outlineLevel="0" collapsed="false">
      <c r="B139" s="31" t="s">
        <v>248</v>
      </c>
      <c r="C139" s="37" t="n">
        <v>4991</v>
      </c>
      <c r="D139" s="46" t="n">
        <f aca="false">C85</f>
        <v>5376</v>
      </c>
      <c r="E139" s="46" t="n">
        <f aca="false">D85</f>
        <v>6975</v>
      </c>
    </row>
    <row r="140" customFormat="false" ht="15" hidden="false" customHeight="false" outlineLevel="0" collapsed="false">
      <c r="B140" s="31" t="s">
        <v>249</v>
      </c>
      <c r="C140" s="46" t="n">
        <f aca="false">C139+C138</f>
        <v>5376</v>
      </c>
      <c r="D140" s="46" t="n">
        <f aca="false">D139+D138</f>
        <v>6975</v>
      </c>
      <c r="E140" s="46" t="n">
        <f aca="false">E139+E138</f>
        <v>5582</v>
      </c>
    </row>
    <row r="141" customFormat="false" ht="15" hidden="false" customHeight="false" outlineLevel="0" collapsed="false">
      <c r="B141" s="40" t="s">
        <v>250</v>
      </c>
      <c r="C141" s="51" t="n">
        <f aca="false">C140-C85</f>
        <v>0</v>
      </c>
      <c r="D141" s="51" t="n">
        <f aca="false">D140-D85</f>
        <v>0</v>
      </c>
      <c r="E141" s="51" t="n">
        <f aca="false">E140-E85</f>
        <v>0</v>
      </c>
    </row>
    <row r="142" customFormat="false" ht="15" hidden="false" customHeight="false" outlineLevel="0" collapsed="false">
      <c r="B142" s="40" t="s">
        <v>251</v>
      </c>
      <c r="C142" s="51" t="n">
        <f aca="false">C130+C133</f>
        <v>11446</v>
      </c>
      <c r="D142" s="51" t="n">
        <f aca="false">D130+D133</f>
        <v>15085</v>
      </c>
      <c r="E142" s="51" t="n">
        <f aca="false">E130+E133</f>
        <v>13073</v>
      </c>
    </row>
    <row r="143" customFormat="false" ht="15" hidden="false" customHeight="false" outlineLevel="0" collapsed="false">
      <c r="B143" s="31" t="s">
        <v>252</v>
      </c>
      <c r="C143" s="42" t="n">
        <f aca="false">-C133/C11</f>
        <v>0.0769179861352393</v>
      </c>
      <c r="D143" s="42" t="n">
        <f aca="false">-D133/D11</f>
        <v>0.0802788684990785</v>
      </c>
      <c r="E143" s="42" t="n">
        <f aca="false">-E133/E11</f>
        <v>0.0912147231517141</v>
      </c>
    </row>
    <row r="144" customFormat="false" ht="15" hidden="false" customHeight="false" outlineLevel="0" collapsed="false">
      <c r="B144" s="31" t="s">
        <v>253</v>
      </c>
      <c r="C144" s="42" t="n">
        <f aca="false">C49/C11</f>
        <v>0.057312089475687</v>
      </c>
      <c r="D144" s="42" t="n">
        <f aca="false">D49/D11</f>
        <v>0.0548601650773299</v>
      </c>
      <c r="E144" s="42" t="n">
        <f aca="false">E49/E11</f>
        <v>0.0534440305574847</v>
      </c>
    </row>
    <row r="145" customFormat="false" ht="15" hidden="false" customHeight="false" outlineLevel="0" collapsed="false">
      <c r="B145" s="31" t="s">
        <v>254</v>
      </c>
      <c r="C145" s="42" t="n">
        <f aca="false">C55/C11</f>
        <v>0.0137324001919227</v>
      </c>
      <c r="D145" s="42" t="n">
        <f aca="false">D55/D11</f>
        <v>0.0137030210754067</v>
      </c>
      <c r="E145" s="42" t="n">
        <f aca="false">E55/E11</f>
        <v>0.0135267377991035</v>
      </c>
    </row>
    <row r="146" customFormat="false" ht="15" hidden="false" customHeight="false" outlineLevel="0" collapsed="false">
      <c r="B146" s="31" t="s">
        <v>255</v>
      </c>
      <c r="C146" s="42" t="n">
        <f aca="false">-C12/C11</f>
        <v>0.27062755414371</v>
      </c>
      <c r="D146" s="42" t="n">
        <f aca="false">-D12/D11</f>
        <v>0.260966423591634</v>
      </c>
      <c r="E146" s="42" t="n">
        <f aca="false">-E12/E11</f>
        <v>0.262721762737547</v>
      </c>
    </row>
    <row r="147" customFormat="false" ht="15" hidden="false" customHeight="false" outlineLevel="0" collapsed="false">
      <c r="B147" s="31" t="s">
        <v>58</v>
      </c>
      <c r="C147" s="42" t="n">
        <f aca="false">C10/C9</f>
        <v>0.0293787042714081</v>
      </c>
      <c r="D147" s="42" t="n">
        <f aca="false">D10/D9</f>
        <v>0.0314075543433342</v>
      </c>
      <c r="E147" s="42" t="n">
        <f aca="false">E10/E9</f>
        <v>0.029910917484882</v>
      </c>
    </row>
  </sheetData>
  <conditionalFormatting sqref="C107:E107">
    <cfRule type="expression" priority="2" aboveAverage="0" equalAverage="0" bottom="0" percent="0" rank="0" text="" dxfId="0">
      <formula>ABS(C107)&gt;0.5</formula>
    </cfRule>
    <cfRule type="expression" priority="3" aboveAverage="0" equalAverage="0" bottom="0" percent="0" rank="0" text="" dxfId="1">
      <formula>ABS(C107)&lt;=0.5</formula>
    </cfRule>
  </conditionalFormatting>
  <conditionalFormatting sqref="C141:E141">
    <cfRule type="expression" priority="4" aboveAverage="0" equalAverage="0" bottom="0" percent="0" rank="0" text="" dxfId="0">
      <formula>ABS(C141)&gt;0.5</formula>
    </cfRule>
    <cfRule type="expression" priority="5" aboveAverage="0" equalAverage="0" bottom="0" percent="0" rank="0" text="" dxfId="1">
      <formula>ABS(C141)&lt;=0.5</formula>
    </cfRule>
  </conditionalFormatting>
  <conditionalFormatting sqref="C116:E116">
    <cfRule type="expression" priority="6" aboveAverage="0" equalAverage="0" bottom="0" percent="0" rank="0" text="" dxfId="0">
      <formula>ABS(C116)&gt;0.5</formula>
    </cfRule>
    <cfRule type="expression" priority="7" aboveAverage="0" equalAverage="0" bottom="0" percent="0" rank="0" text="" dxfId="1">
      <formula>ABS(C116)&lt;=0.5</formula>
    </cfRule>
  </conditionalFormatting>
  <conditionalFormatting sqref="C39:E39">
    <cfRule type="expression" priority="8" aboveAverage="0" equalAverage="0" bottom="0" percent="0" rank="0" text="" dxfId="0">
      <formula>ABS(C39)&gt;0.5</formula>
    </cfRule>
    <cfRule type="expression" priority="9" aboveAverage="0" equalAverage="0" bottom="0" percent="0" rank="0" text="" dxfId="1">
      <formula>ABS(C39)&lt;=0.5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8" min="3" style="0" width="12"/>
    <col collapsed="false" customWidth="true" hidden="false" outlineLevel="0" max="9" min="9" style="0" width="3"/>
    <col collapsed="false" customWidth="true" hidden="false" outlineLevel="0" max="10" min="10" style="0" width="40"/>
  </cols>
  <sheetData>
    <row r="1" customFormat="false" ht="24.45" hidden="false" customHeight="false" outlineLevel="0" collapsed="false">
      <c r="B1" s="17" t="s">
        <v>256</v>
      </c>
    </row>
    <row r="2" customFormat="false" ht="15" hidden="false" customHeight="false" outlineLevel="0" collapsed="false">
      <c r="B2" s="16" t="s">
        <v>257</v>
      </c>
      <c r="E2" s="53" t="str">
        <f aca="false">"Scenario: "&amp;Assumptions!$E$4</f>
        <v>Scenario: Base case</v>
      </c>
    </row>
    <row r="4" customFormat="false" ht="15" hidden="false" customHeight="false" outlineLevel="0" collapsed="false">
      <c r="B4" s="20"/>
      <c r="C4" s="21" t="s">
        <v>104</v>
      </c>
      <c r="D4" s="21" t="s">
        <v>258</v>
      </c>
      <c r="E4" s="21" t="s">
        <v>259</v>
      </c>
      <c r="F4" s="21" t="s">
        <v>260</v>
      </c>
      <c r="G4" s="21" t="s">
        <v>261</v>
      </c>
      <c r="H4" s="21" t="s">
        <v>262</v>
      </c>
    </row>
    <row r="6" customFormat="false" ht="15" hidden="false" customHeight="false" outlineLevel="0" collapsed="false">
      <c r="B6" s="29" t="s">
        <v>263</v>
      </c>
      <c r="C6" s="30"/>
      <c r="D6" s="30"/>
      <c r="E6" s="30"/>
      <c r="F6" s="30"/>
      <c r="G6" s="30"/>
      <c r="H6" s="30"/>
    </row>
    <row r="7" customFormat="false" ht="15" hidden="false" customHeight="false" outlineLevel="0" collapsed="false">
      <c r="B7" s="31" t="s">
        <v>264</v>
      </c>
      <c r="D7" s="54" t="n">
        <f aca="false">Assumptions!$G$20</f>
        <v>0.04</v>
      </c>
      <c r="E7" s="54" t="n">
        <f aca="false">Assumptions!$G$21</f>
        <v>0.045</v>
      </c>
      <c r="F7" s="54" t="n">
        <f aca="false">Assumptions!$G$22</f>
        <v>0.04</v>
      </c>
      <c r="G7" s="54" t="n">
        <f aca="false">Assumptions!$G$23</f>
        <v>0.035</v>
      </c>
      <c r="H7" s="54" t="n">
        <f aca="false">Assumptions!$G$24</f>
        <v>0.03</v>
      </c>
    </row>
    <row r="8" customFormat="false" ht="15" hidden="false" customHeight="false" outlineLevel="0" collapsed="false">
      <c r="B8" s="31" t="s">
        <v>265</v>
      </c>
      <c r="D8" s="54" t="n">
        <f aca="false">Assumptions!$G$25</f>
        <v>0.015</v>
      </c>
      <c r="E8" s="54" t="n">
        <f aca="false">Assumptions!$G$26</f>
        <v>0.03</v>
      </c>
      <c r="F8" s="54" t="n">
        <f aca="false">Assumptions!$G$27</f>
        <v>0.035</v>
      </c>
      <c r="G8" s="54" t="n">
        <f aca="false">Assumptions!$G$28</f>
        <v>0.035</v>
      </c>
      <c r="H8" s="54" t="n">
        <f aca="false">Assumptions!$G$29</f>
        <v>0.035</v>
      </c>
    </row>
    <row r="9" customFormat="false" ht="15" hidden="false" customHeight="false" outlineLevel="0" collapsed="false">
      <c r="B9" s="31" t="s">
        <v>58</v>
      </c>
      <c r="D9" s="54" t="n">
        <f aca="false">Assumptions!$G$30</f>
        <v>0.03</v>
      </c>
      <c r="E9" s="54" t="n">
        <f aca="false">Assumptions!$G$30</f>
        <v>0.03</v>
      </c>
      <c r="F9" s="54" t="n">
        <f aca="false">Assumptions!$G$30</f>
        <v>0.03</v>
      </c>
      <c r="G9" s="54" t="n">
        <f aca="false">Assumptions!$G$30</f>
        <v>0.03</v>
      </c>
      <c r="H9" s="54" t="n">
        <f aca="false">Assumptions!$G$30</f>
        <v>0.03</v>
      </c>
    </row>
    <row r="10" customFormat="false" ht="15" hidden="false" customHeight="false" outlineLevel="0" collapsed="false">
      <c r="B10" s="31" t="s">
        <v>167</v>
      </c>
      <c r="D10" s="54" t="n">
        <f aca="false">Assumptions!$G$32</f>
        <v>0.392</v>
      </c>
      <c r="E10" s="54" t="n">
        <f aca="false">Assumptions!$G$33</f>
        <v>0.396</v>
      </c>
      <c r="F10" s="54" t="n">
        <f aca="false">Assumptions!$G$34</f>
        <v>0.4</v>
      </c>
      <c r="G10" s="54" t="n">
        <f aca="false">Assumptions!$G$35</f>
        <v>0.402</v>
      </c>
      <c r="H10" s="54" t="n">
        <f aca="false">Assumptions!$G$36</f>
        <v>0.404</v>
      </c>
    </row>
    <row r="11" customFormat="false" ht="15" hidden="false" customHeight="false" outlineLevel="0" collapsed="false">
      <c r="B11" s="31" t="s">
        <v>253</v>
      </c>
      <c r="D11" s="54" t="n">
        <f aca="false">Assumptions!$G$37</f>
        <v>0.053</v>
      </c>
      <c r="E11" s="54" t="n">
        <f aca="false">Assumptions!$G$37</f>
        <v>0.053</v>
      </c>
      <c r="F11" s="54" t="n">
        <f aca="false">Assumptions!$G$37</f>
        <v>0.053</v>
      </c>
      <c r="G11" s="54" t="n">
        <f aca="false">Assumptions!$G$37</f>
        <v>0.053</v>
      </c>
      <c r="H11" s="54" t="n">
        <f aca="false">Assumptions!$G$37</f>
        <v>0.053</v>
      </c>
    </row>
    <row r="12" customFormat="false" ht="15" hidden="false" customHeight="false" outlineLevel="0" collapsed="false">
      <c r="B12" s="31" t="s">
        <v>252</v>
      </c>
      <c r="D12" s="54" t="n">
        <f aca="false">Assumptions!$G$40</f>
        <v>0.085</v>
      </c>
      <c r="E12" s="54" t="n">
        <f aca="false">Assumptions!$G$40</f>
        <v>0.085</v>
      </c>
      <c r="F12" s="54" t="n">
        <f aca="false">Assumptions!$G$40</f>
        <v>0.085</v>
      </c>
      <c r="G12" s="54" t="n">
        <f aca="false">Assumptions!$G$40</f>
        <v>0.085</v>
      </c>
      <c r="H12" s="54" t="n">
        <f aca="false">Assumptions!$G$40</f>
        <v>0.085</v>
      </c>
    </row>
    <row r="13" customFormat="false" ht="15" hidden="false" customHeight="false" outlineLevel="0" collapsed="false">
      <c r="B13" s="31" t="s">
        <v>255</v>
      </c>
      <c r="D13" s="54" t="n">
        <f aca="false">Assumptions!$G$41</f>
        <v>0.26</v>
      </c>
      <c r="E13" s="54" t="n">
        <f aca="false">Assumptions!$G$41</f>
        <v>0.26</v>
      </c>
      <c r="F13" s="54" t="n">
        <f aca="false">Assumptions!$G$41</f>
        <v>0.26</v>
      </c>
      <c r="G13" s="54" t="n">
        <f aca="false">Assumptions!$G$41</f>
        <v>0.26</v>
      </c>
      <c r="H13" s="54" t="n">
        <f aca="false">Assumptions!$G$41</f>
        <v>0.26</v>
      </c>
    </row>
    <row r="14" customFormat="false" ht="15" hidden="false" customHeight="false" outlineLevel="0" collapsed="false">
      <c r="B14" s="31" t="s">
        <v>266</v>
      </c>
      <c r="D14" s="55" t="n">
        <f aca="false">Assumptions!$G$42</f>
        <v>66</v>
      </c>
      <c r="E14" s="55" t="n">
        <f aca="false">Assumptions!$G$42</f>
        <v>66</v>
      </c>
      <c r="F14" s="55" t="n">
        <f aca="false">Assumptions!$G$42</f>
        <v>66</v>
      </c>
      <c r="G14" s="55" t="n">
        <f aca="false">Assumptions!$G$42</f>
        <v>66</v>
      </c>
      <c r="H14" s="55" t="n">
        <f aca="false">Assumptions!$G$42</f>
        <v>66</v>
      </c>
    </row>
    <row r="15" customFormat="false" ht="15" hidden="false" customHeight="false" outlineLevel="0" collapsed="false">
      <c r="B15" s="31" t="s">
        <v>267</v>
      </c>
      <c r="D15" s="55" t="n">
        <f aca="false">Assumptions!$G$43</f>
        <v>165</v>
      </c>
      <c r="E15" s="55" t="n">
        <f aca="false">Assumptions!$G$43</f>
        <v>165</v>
      </c>
      <c r="F15" s="55" t="n">
        <f aca="false">Assumptions!$G$43</f>
        <v>165</v>
      </c>
      <c r="G15" s="55" t="n">
        <f aca="false">Assumptions!$G$43</f>
        <v>165</v>
      </c>
      <c r="H15" s="55" t="n">
        <f aca="false">Assumptions!$G$43</f>
        <v>165</v>
      </c>
    </row>
    <row r="16" customFormat="false" ht="15" hidden="false" customHeight="false" outlineLevel="0" collapsed="false">
      <c r="B16" s="31" t="s">
        <v>268</v>
      </c>
      <c r="D16" s="55" t="n">
        <f aca="false">Assumptions!$G$44</f>
        <v>120</v>
      </c>
      <c r="E16" s="55" t="n">
        <f aca="false">Assumptions!$G$44</f>
        <v>120</v>
      </c>
      <c r="F16" s="55" t="n">
        <f aca="false">Assumptions!$G$44</f>
        <v>120</v>
      </c>
      <c r="G16" s="55" t="n">
        <f aca="false">Assumptions!$G$44</f>
        <v>120</v>
      </c>
      <c r="H16" s="55" t="n">
        <f aca="false">Assumptions!$G$44</f>
        <v>120</v>
      </c>
    </row>
    <row r="17" customFormat="false" ht="15" hidden="false" customHeight="false" outlineLevel="0" collapsed="false">
      <c r="B17" s="31" t="s">
        <v>269</v>
      </c>
      <c r="C17" s="54" t="n">
        <f aca="false">Historicals!$E$25</f>
        <v>0.187002886938078</v>
      </c>
      <c r="D17" s="54" t="n">
        <f aca="false">Assumptions!$G$46</f>
        <v>0.19</v>
      </c>
      <c r="E17" s="54" t="n">
        <f aca="false">Assumptions!$G$46</f>
        <v>0.19</v>
      </c>
      <c r="F17" s="54" t="n">
        <f aca="false">Assumptions!$G$46</f>
        <v>0.19</v>
      </c>
      <c r="G17" s="54" t="n">
        <f aca="false">Assumptions!$G$46</f>
        <v>0.19</v>
      </c>
      <c r="H17" s="54" t="n">
        <f aca="false">Assumptions!$G$46</f>
        <v>0.19</v>
      </c>
    </row>
    <row r="18" customFormat="false" ht="15" hidden="false" customHeight="false" outlineLevel="0" collapsed="false">
      <c r="B18" s="31" t="s">
        <v>254</v>
      </c>
      <c r="D18" s="54" t="n">
        <f aca="false">Assumptions!$G$38</f>
        <v>0.014</v>
      </c>
      <c r="E18" s="54" t="n">
        <f aca="false">Assumptions!$G$38</f>
        <v>0.014</v>
      </c>
      <c r="F18" s="54" t="n">
        <f aca="false">Assumptions!$G$38</f>
        <v>0.014</v>
      </c>
      <c r="G18" s="54" t="n">
        <f aca="false">Assumptions!$G$38</f>
        <v>0.014</v>
      </c>
      <c r="H18" s="54" t="n">
        <f aca="false">Assumptions!$G$38</f>
        <v>0.014</v>
      </c>
    </row>
    <row r="20" customFormat="false" ht="15" hidden="false" customHeight="false" outlineLevel="0" collapsed="false">
      <c r="B20" s="29" t="s">
        <v>270</v>
      </c>
      <c r="C20" s="30"/>
      <c r="D20" s="30"/>
      <c r="E20" s="30"/>
      <c r="F20" s="30"/>
      <c r="G20" s="30"/>
      <c r="H20" s="30"/>
    </row>
    <row r="21" customFormat="false" ht="15" hidden="false" customHeight="false" outlineLevel="0" collapsed="false">
      <c r="B21" s="31" t="s">
        <v>112</v>
      </c>
      <c r="C21" s="56" t="n">
        <f aca="false">Historicals!$E$7</f>
        <v>47669</v>
      </c>
      <c r="D21" s="46" t="n">
        <f aca="false">C21*(1+D7)</f>
        <v>49575.76</v>
      </c>
      <c r="E21" s="46" t="n">
        <f aca="false">D21*(1+E7)</f>
        <v>51806.6692</v>
      </c>
      <c r="F21" s="46" t="n">
        <f aca="false">E21*(1+F7)</f>
        <v>53878.935968</v>
      </c>
      <c r="G21" s="46" t="n">
        <f aca="false">F21*(1+G7)</f>
        <v>55764.69872688</v>
      </c>
      <c r="H21" s="46" t="n">
        <f aca="false">G21*(1+H7)</f>
        <v>57437.6396886864</v>
      </c>
    </row>
    <row r="22" customFormat="false" ht="15" hidden="false" customHeight="false" outlineLevel="0" collapsed="false">
      <c r="B22" s="31" t="s">
        <v>114</v>
      </c>
      <c r="C22" s="56" t="n">
        <f aca="false">Historicals!$E$8</f>
        <v>13847</v>
      </c>
      <c r="D22" s="46" t="n">
        <f aca="false">C22*(1+D8)</f>
        <v>14054.705</v>
      </c>
      <c r="E22" s="46" t="n">
        <f aca="false">D22*(1+E8)</f>
        <v>14476.34615</v>
      </c>
      <c r="F22" s="46" t="n">
        <f aca="false">E22*(1+F8)</f>
        <v>14983.01826525</v>
      </c>
      <c r="G22" s="46" t="n">
        <f aca="false">F22*(1+G8)</f>
        <v>15507.4239045337</v>
      </c>
      <c r="H22" s="46" t="n">
        <f aca="false">G22*(1+H8)</f>
        <v>16050.1837411924</v>
      </c>
    </row>
    <row r="23" customFormat="false" ht="15" hidden="false" customHeight="false" outlineLevel="0" collapsed="false">
      <c r="B23" s="40" t="s">
        <v>115</v>
      </c>
      <c r="C23" s="41" t="n">
        <f aca="false">C21+C22</f>
        <v>61516</v>
      </c>
      <c r="D23" s="41" t="n">
        <f aca="false">D21+D22</f>
        <v>63630.465</v>
      </c>
      <c r="E23" s="41" t="n">
        <f aca="false">E21+E22</f>
        <v>66283.01535</v>
      </c>
      <c r="F23" s="41" t="n">
        <f aca="false">F21+F22</f>
        <v>68861.95423325</v>
      </c>
      <c r="G23" s="41" t="n">
        <f aca="false">G21+G22</f>
        <v>71272.1226314138</v>
      </c>
      <c r="H23" s="41" t="n">
        <f aca="false">H21+H22</f>
        <v>73487.8234298788</v>
      </c>
    </row>
    <row r="24" customFormat="false" ht="15" hidden="false" customHeight="false" outlineLevel="0" collapsed="false">
      <c r="B24" s="31" t="s">
        <v>116</v>
      </c>
      <c r="C24" s="56" t="n">
        <f aca="false">Historicals!$E$10</f>
        <v>1840</v>
      </c>
      <c r="D24" s="46" t="n">
        <f aca="false">D23*D9</f>
        <v>1908.91395</v>
      </c>
      <c r="E24" s="46" t="n">
        <f aca="false">E23*E9</f>
        <v>1988.4904605</v>
      </c>
      <c r="F24" s="46" t="n">
        <f aca="false">F23*F9</f>
        <v>2065.8586269975</v>
      </c>
      <c r="G24" s="46" t="n">
        <f aca="false">G23*G9</f>
        <v>2138.16367894241</v>
      </c>
      <c r="H24" s="46" t="n">
        <f aca="false">H23*H9</f>
        <v>2204.63470289636</v>
      </c>
    </row>
    <row r="25" customFormat="false" ht="15" hidden="false" customHeight="false" outlineLevel="0" collapsed="false">
      <c r="B25" s="40" t="s">
        <v>45</v>
      </c>
      <c r="C25" s="41" t="n">
        <f aca="false">C23+C24</f>
        <v>63356</v>
      </c>
      <c r="D25" s="41" t="n">
        <f aca="false">D23+D24</f>
        <v>65539.37895</v>
      </c>
      <c r="E25" s="41" t="n">
        <f aca="false">E23+E24</f>
        <v>68271.5058105</v>
      </c>
      <c r="F25" s="41" t="n">
        <f aca="false">F23+F24</f>
        <v>70927.8128602475</v>
      </c>
      <c r="G25" s="41" t="n">
        <f aca="false">G23+G24</f>
        <v>73410.2863103562</v>
      </c>
      <c r="H25" s="41" t="n">
        <f aca="false">H23+H24</f>
        <v>75692.4581327752</v>
      </c>
    </row>
    <row r="26" customFormat="false" ht="15" hidden="false" customHeight="false" outlineLevel="0" collapsed="false">
      <c r="B26" s="47" t="s">
        <v>271</v>
      </c>
      <c r="C26" s="54" t="n">
        <f aca="false">C25/Historicals!$D$11-1</f>
        <v>0.0154018751502525</v>
      </c>
      <c r="D26" s="42" t="n">
        <f aca="false">D25/C25-1</f>
        <v>0.0344620706799672</v>
      </c>
      <c r="E26" s="42" t="n">
        <f aca="false">E25/D25-1</f>
        <v>0.0416867981398534</v>
      </c>
      <c r="F26" s="42" t="n">
        <f aca="false">F25/E25-1</f>
        <v>0.0389079897713194</v>
      </c>
      <c r="G26" s="42" t="n">
        <f aca="false">G25/F25-1</f>
        <v>0.0349999999999999</v>
      </c>
      <c r="H26" s="42" t="n">
        <f aca="false">H25/G25-1</f>
        <v>0.0310879024878163</v>
      </c>
    </row>
    <row r="28" customFormat="false" ht="15" hidden="false" customHeight="false" outlineLevel="0" collapsed="false">
      <c r="B28" s="29" t="s">
        <v>60</v>
      </c>
      <c r="C28" s="30"/>
      <c r="D28" s="30"/>
      <c r="E28" s="30"/>
      <c r="F28" s="30"/>
      <c r="G28" s="30"/>
      <c r="H28" s="30"/>
    </row>
    <row r="29" customFormat="false" ht="15" hidden="false" customHeight="false" outlineLevel="0" collapsed="false">
      <c r="B29" s="40" t="s">
        <v>272</v>
      </c>
      <c r="C29" s="57" t="n">
        <f aca="false">Historicals!$E$56</f>
        <v>24543</v>
      </c>
      <c r="D29" s="51" t="n">
        <f aca="false">D25*D10</f>
        <v>25691.4365484</v>
      </c>
      <c r="E29" s="51" t="n">
        <f aca="false">E25*E10</f>
        <v>27035.516300958</v>
      </c>
      <c r="F29" s="51" t="n">
        <f aca="false">F25*F10</f>
        <v>28371.125144099</v>
      </c>
      <c r="G29" s="51" t="n">
        <f aca="false">G25*G10</f>
        <v>29510.9350967632</v>
      </c>
      <c r="H29" s="51" t="n">
        <f aca="false">H25*H10</f>
        <v>30579.7530856412</v>
      </c>
    </row>
    <row r="30" customFormat="false" ht="15" hidden="false" customHeight="false" outlineLevel="0" collapsed="false">
      <c r="B30" s="47" t="s">
        <v>167</v>
      </c>
      <c r="C30" s="42" t="n">
        <f aca="false">C29/C25</f>
        <v>0.387382410505714</v>
      </c>
      <c r="D30" s="42" t="n">
        <f aca="false">D29/D25</f>
        <v>0.392</v>
      </c>
      <c r="E30" s="42" t="n">
        <f aca="false">E29/E25</f>
        <v>0.396</v>
      </c>
      <c r="F30" s="42" t="n">
        <f aca="false">F29/F25</f>
        <v>0.4</v>
      </c>
      <c r="G30" s="42" t="n">
        <f aca="false">G29/G25</f>
        <v>0.402</v>
      </c>
      <c r="H30" s="42" t="n">
        <f aca="false">H29/H25</f>
        <v>0.404</v>
      </c>
    </row>
    <row r="31" customFormat="false" ht="15" hidden="false" customHeight="false" outlineLevel="0" collapsed="false">
      <c r="B31" s="31" t="s">
        <v>273</v>
      </c>
      <c r="C31" s="56" t="n">
        <f aca="false">-Historicals!$E$49</f>
        <v>-3386</v>
      </c>
      <c r="D31" s="46" t="n">
        <f aca="false">-D25*D11</f>
        <v>-3473.58708435</v>
      </c>
      <c r="E31" s="46" t="n">
        <f aca="false">-E25*E11</f>
        <v>-3618.3898079565</v>
      </c>
      <c r="F31" s="46" t="n">
        <f aca="false">-F25*F11</f>
        <v>-3759.17408159312</v>
      </c>
      <c r="G31" s="46" t="n">
        <f aca="false">-G25*G11</f>
        <v>-3890.74517444888</v>
      </c>
      <c r="H31" s="46" t="n">
        <f aca="false">-H25*H11</f>
        <v>-4011.70028103708</v>
      </c>
    </row>
    <row r="32" customFormat="false" ht="15" hidden="false" customHeight="false" outlineLevel="0" collapsed="false">
      <c r="B32" s="40" t="s">
        <v>274</v>
      </c>
      <c r="C32" s="41" t="n">
        <f aca="false">C29+C31</f>
        <v>21157</v>
      </c>
      <c r="D32" s="41" t="n">
        <f aca="false">D29+D31</f>
        <v>22217.84946405</v>
      </c>
      <c r="E32" s="41" t="n">
        <f aca="false">E29+E31</f>
        <v>23417.1264930015</v>
      </c>
      <c r="F32" s="41" t="n">
        <f aca="false">F29+F31</f>
        <v>24611.9510625059</v>
      </c>
      <c r="G32" s="41" t="n">
        <f aca="false">G29+G31</f>
        <v>25620.1899223143</v>
      </c>
      <c r="H32" s="41" t="n">
        <f aca="false">H29+H31</f>
        <v>26568.0528046041</v>
      </c>
    </row>
    <row r="33" customFormat="false" ht="15" hidden="false" customHeight="false" outlineLevel="0" collapsed="false">
      <c r="B33" s="47" t="s">
        <v>275</v>
      </c>
      <c r="C33" s="42" t="n">
        <f aca="false">C32/C25</f>
        <v>0.333938379948229</v>
      </c>
      <c r="D33" s="42" t="n">
        <f aca="false">D32/D25</f>
        <v>0.339</v>
      </c>
      <c r="E33" s="42" t="n">
        <f aca="false">E32/E25</f>
        <v>0.343</v>
      </c>
      <c r="F33" s="42" t="n">
        <f aca="false">F32/F25</f>
        <v>0.347</v>
      </c>
      <c r="G33" s="42" t="n">
        <f aca="false">G32/G25</f>
        <v>0.349</v>
      </c>
      <c r="H33" s="42" t="n">
        <f aca="false">H32/H25</f>
        <v>0.351</v>
      </c>
    </row>
    <row r="34" customFormat="false" ht="15" hidden="false" customHeight="false" outlineLevel="0" collapsed="false">
      <c r="B34" s="31" t="s">
        <v>276</v>
      </c>
      <c r="C34" s="46" t="n">
        <f aca="false">-C32*C17</f>
        <v>-3956.42007894892</v>
      </c>
      <c r="D34" s="46" t="n">
        <f aca="false">-D32*D17</f>
        <v>-4221.3913981695</v>
      </c>
      <c r="E34" s="46" t="n">
        <f aca="false">-E32*E17</f>
        <v>-4449.25403367029</v>
      </c>
      <c r="F34" s="46" t="n">
        <f aca="false">-F32*F17</f>
        <v>-4676.27070187612</v>
      </c>
      <c r="G34" s="46" t="n">
        <f aca="false">-G32*G17</f>
        <v>-4867.83608523972</v>
      </c>
      <c r="H34" s="46" t="n">
        <f aca="false">-H32*H17</f>
        <v>-5047.93003287478</v>
      </c>
    </row>
    <row r="35" customFormat="false" ht="15" hidden="false" customHeight="false" outlineLevel="0" collapsed="false">
      <c r="B35" s="40" t="s">
        <v>277</v>
      </c>
      <c r="C35" s="41" t="n">
        <f aca="false">C32+C34</f>
        <v>17200.5799210511</v>
      </c>
      <c r="D35" s="41" t="n">
        <f aca="false">D32+D34</f>
        <v>17996.4580658805</v>
      </c>
      <c r="E35" s="41" t="n">
        <f aca="false">E32+E34</f>
        <v>18967.8724593312</v>
      </c>
      <c r="F35" s="41" t="n">
        <f aca="false">F32+F34</f>
        <v>19935.6803606298</v>
      </c>
      <c r="G35" s="41" t="n">
        <f aca="false">G32+G34</f>
        <v>20752.3538370746</v>
      </c>
      <c r="H35" s="41" t="n">
        <f aca="false">H32+H34</f>
        <v>21520.1227717293</v>
      </c>
    </row>
    <row r="37" customFormat="false" ht="15" hidden="false" customHeight="false" outlineLevel="0" collapsed="false">
      <c r="B37" s="29" t="s">
        <v>278</v>
      </c>
      <c r="C37" s="30"/>
      <c r="D37" s="30"/>
      <c r="E37" s="30"/>
      <c r="F37" s="30"/>
      <c r="G37" s="30"/>
      <c r="H37" s="30"/>
    </row>
    <row r="38" customFormat="false" ht="15" hidden="false" customHeight="false" outlineLevel="0" collapsed="false">
      <c r="B38" s="31" t="s">
        <v>279</v>
      </c>
      <c r="C38" s="56" t="n">
        <f aca="false">-Historicals!$E$12</f>
        <v>16645</v>
      </c>
      <c r="D38" s="46" t="n">
        <f aca="false">D25*D13</f>
        <v>17040.238527</v>
      </c>
      <c r="E38" s="46" t="n">
        <f aca="false">E25*E13</f>
        <v>17750.59151073</v>
      </c>
      <c r="F38" s="46" t="n">
        <f aca="false">F25*F13</f>
        <v>18441.2313436644</v>
      </c>
      <c r="G38" s="46" t="n">
        <f aca="false">G25*G13</f>
        <v>19086.6744406926</v>
      </c>
      <c r="H38" s="46" t="n">
        <f aca="false">H25*H13</f>
        <v>19680.0391145215</v>
      </c>
    </row>
    <row r="39" customFormat="false" ht="15" hidden="false" customHeight="false" outlineLevel="0" collapsed="false">
      <c r="B39" s="31" t="s">
        <v>190</v>
      </c>
      <c r="C39" s="56" t="n">
        <f aca="false">Historicals!$E$81</f>
        <v>11506</v>
      </c>
      <c r="D39" s="46" t="n">
        <f aca="false">D25*D14/365</f>
        <v>11850.9561936986</v>
      </c>
      <c r="E39" s="46" t="n">
        <f aca="false">E25*E14/365</f>
        <v>12344.9846123096</v>
      </c>
      <c r="F39" s="46" t="n">
        <f aca="false">F25*F14/365</f>
        <v>12825.3031473324</v>
      </c>
      <c r="G39" s="46" t="n">
        <f aca="false">G25*G14/365</f>
        <v>13274.1887574891</v>
      </c>
      <c r="H39" s="46" t="n">
        <f aca="false">H25*H14/365</f>
        <v>13686.8554431867</v>
      </c>
    </row>
    <row r="40" customFormat="false" ht="15" hidden="false" customHeight="false" outlineLevel="0" collapsed="false">
      <c r="B40" s="31" t="s">
        <v>189</v>
      </c>
      <c r="C40" s="56" t="n">
        <f aca="false">Historicals!$E$80</f>
        <v>7479</v>
      </c>
      <c r="D40" s="46" t="n">
        <f aca="false">D38*D15/365</f>
        <v>7703.12152590411</v>
      </c>
      <c r="E40" s="46" t="n">
        <f aca="false">E38*E15/365</f>
        <v>8024.23999800123</v>
      </c>
      <c r="F40" s="46" t="n">
        <f aca="false">F38*F15/365</f>
        <v>8336.44704576608</v>
      </c>
      <c r="G40" s="46" t="n">
        <f aca="false">G38*G15/365</f>
        <v>8628.22269236789</v>
      </c>
      <c r="H40" s="46" t="n">
        <f aca="false">H38*H15/365</f>
        <v>8896.45603807139</v>
      </c>
    </row>
    <row r="41" customFormat="false" ht="15" hidden="false" customHeight="false" outlineLevel="0" collapsed="false">
      <c r="B41" s="31" t="s">
        <v>207</v>
      </c>
      <c r="C41" s="56" t="n">
        <f aca="false">Historicals!$E$98</f>
        <v>5779</v>
      </c>
      <c r="D41" s="46" t="n">
        <f aca="false">D38*D16/365</f>
        <v>5602.27020065754</v>
      </c>
      <c r="E41" s="46" t="n">
        <f aca="false">E38*E16/365</f>
        <v>5835.81090763726</v>
      </c>
      <c r="F41" s="46" t="n">
        <f aca="false">F38*F16/365</f>
        <v>6062.87057873897</v>
      </c>
      <c r="G41" s="46" t="n">
        <f aca="false">G38*G16/365</f>
        <v>6275.07104899483</v>
      </c>
      <c r="H41" s="46" t="n">
        <f aca="false">H38*H16/365</f>
        <v>6470.1498458701</v>
      </c>
    </row>
    <row r="42" customFormat="false" ht="15" hidden="false" customHeight="false" outlineLevel="0" collapsed="false">
      <c r="B42" s="40" t="s">
        <v>280</v>
      </c>
      <c r="C42" s="41" t="n">
        <f aca="false">C39+C40-C41</f>
        <v>13206</v>
      </c>
      <c r="D42" s="41" t="n">
        <f aca="false">D39+D40-D41</f>
        <v>13951.8075189452</v>
      </c>
      <c r="E42" s="41" t="n">
        <f aca="false">E39+E40-E41</f>
        <v>14533.4137026736</v>
      </c>
      <c r="F42" s="41" t="n">
        <f aca="false">F39+F40-F41</f>
        <v>15098.8796143595</v>
      </c>
      <c r="G42" s="41" t="n">
        <f aca="false">G39+G40-G41</f>
        <v>15627.3404008621</v>
      </c>
      <c r="H42" s="41" t="n">
        <f aca="false">H39+H40-H41</f>
        <v>16113.161635388</v>
      </c>
    </row>
    <row r="43" customFormat="false" ht="15" hidden="false" customHeight="false" outlineLevel="0" collapsed="false">
      <c r="B43" s="31" t="s">
        <v>281</v>
      </c>
      <c r="C43" s="56" t="n">
        <f aca="false">Historicals!$D$118-C42</f>
        <v>803</v>
      </c>
      <c r="D43" s="46" t="n">
        <f aca="false">C42-D42</f>
        <v>-745.807518945203</v>
      </c>
      <c r="E43" s="46" t="n">
        <f aca="false">D42-E42</f>
        <v>-581.606183728363</v>
      </c>
      <c r="F43" s="46" t="n">
        <f aca="false">E42-F42</f>
        <v>-565.465911685969</v>
      </c>
      <c r="G43" s="46" t="n">
        <f aca="false">F42-G42</f>
        <v>-528.460786502583</v>
      </c>
      <c r="H43" s="46" t="n">
        <f aca="false">G42-H42</f>
        <v>-485.821234525909</v>
      </c>
    </row>
    <row r="45" customFormat="false" ht="15" hidden="false" customHeight="false" outlineLevel="0" collapsed="false">
      <c r="B45" s="29" t="s">
        <v>282</v>
      </c>
      <c r="C45" s="30"/>
      <c r="D45" s="30"/>
      <c r="E45" s="30"/>
      <c r="F45" s="30"/>
      <c r="G45" s="30"/>
      <c r="H45" s="30"/>
    </row>
    <row r="46" customFormat="false" ht="15" hidden="false" customHeight="false" outlineLevel="0" collapsed="false">
      <c r="B46" s="31" t="s">
        <v>277</v>
      </c>
      <c r="C46" s="46" t="n">
        <f aca="false">C35</f>
        <v>17200.5799210511</v>
      </c>
      <c r="D46" s="46" t="n">
        <f aca="false">D35</f>
        <v>17996.4580658805</v>
      </c>
      <c r="E46" s="46" t="n">
        <f aca="false">E35</f>
        <v>18967.8724593312</v>
      </c>
      <c r="F46" s="46" t="n">
        <f aca="false">F35</f>
        <v>19935.6803606298</v>
      </c>
      <c r="G46" s="46" t="n">
        <f aca="false">G35</f>
        <v>20752.3538370746</v>
      </c>
      <c r="H46" s="46" t="n">
        <f aca="false">H35</f>
        <v>21520.1227717293</v>
      </c>
    </row>
    <row r="47" customFormat="false" ht="15" hidden="false" customHeight="false" outlineLevel="0" collapsed="false">
      <c r="B47" s="31" t="s">
        <v>283</v>
      </c>
      <c r="C47" s="46" t="n">
        <f aca="false">-C31</f>
        <v>3386</v>
      </c>
      <c r="D47" s="46" t="n">
        <f aca="false">-D31</f>
        <v>3473.58708435</v>
      </c>
      <c r="E47" s="46" t="n">
        <f aca="false">-E31</f>
        <v>3618.3898079565</v>
      </c>
      <c r="F47" s="46" t="n">
        <f aca="false">-F31</f>
        <v>3759.17408159312</v>
      </c>
      <c r="G47" s="46" t="n">
        <f aca="false">-G31</f>
        <v>3890.74517444888</v>
      </c>
      <c r="H47" s="46" t="n">
        <f aca="false">-H31</f>
        <v>4011.70028103708</v>
      </c>
    </row>
    <row r="48" customFormat="false" ht="15" hidden="false" customHeight="false" outlineLevel="0" collapsed="false">
      <c r="B48" s="31" t="s">
        <v>284</v>
      </c>
      <c r="C48" s="56" t="n">
        <f aca="false">Historicals!$E$133</f>
        <v>-5779</v>
      </c>
      <c r="D48" s="46" t="n">
        <f aca="false">-D25*D12</f>
        <v>-5570.84721075</v>
      </c>
      <c r="E48" s="46" t="n">
        <f aca="false">-E25*E12</f>
        <v>-5803.0779938925</v>
      </c>
      <c r="F48" s="46" t="n">
        <f aca="false">-F25*F12</f>
        <v>-6028.86409312104</v>
      </c>
      <c r="G48" s="46" t="n">
        <f aca="false">-G25*G12</f>
        <v>-6239.87433638027</v>
      </c>
      <c r="H48" s="46" t="n">
        <f aca="false">-H25*H12</f>
        <v>-6433.85894128589</v>
      </c>
    </row>
    <row r="49" customFormat="false" ht="15" hidden="false" customHeight="false" outlineLevel="0" collapsed="false">
      <c r="B49" s="31" t="s">
        <v>285</v>
      </c>
      <c r="C49" s="46" t="n">
        <f aca="false">C43</f>
        <v>803</v>
      </c>
      <c r="D49" s="46" t="n">
        <f aca="false">D43</f>
        <v>-745.807518945203</v>
      </c>
      <c r="E49" s="46" t="n">
        <f aca="false">E43</f>
        <v>-581.606183728363</v>
      </c>
      <c r="F49" s="46" t="n">
        <f aca="false">F43</f>
        <v>-565.465911685969</v>
      </c>
      <c r="G49" s="46" t="n">
        <f aca="false">G43</f>
        <v>-528.460786502583</v>
      </c>
      <c r="H49" s="46" t="n">
        <f aca="false">H43</f>
        <v>-485.821234525909</v>
      </c>
    </row>
    <row r="50" customFormat="false" ht="15" hidden="false" customHeight="false" outlineLevel="0" collapsed="false">
      <c r="B50" s="40" t="s">
        <v>282</v>
      </c>
      <c r="C50" s="41" t="n">
        <f aca="false">SUM(C46:C49)</f>
        <v>15610.5799210511</v>
      </c>
      <c r="D50" s="41" t="n">
        <f aca="false">SUM(D46:D49)</f>
        <v>15153.3904205353</v>
      </c>
      <c r="E50" s="41" t="n">
        <f aca="false">SUM(E46:E49)</f>
        <v>16201.5780896669</v>
      </c>
      <c r="F50" s="41" t="n">
        <f aca="false">SUM(F46:F49)</f>
        <v>17100.5244374159</v>
      </c>
      <c r="G50" s="41" t="n">
        <f aca="false">SUM(G46:G49)</f>
        <v>17874.7638886406</v>
      </c>
      <c r="H50" s="41" t="n">
        <f aca="false">SUM(H46:H49)</f>
        <v>18612.1428769546</v>
      </c>
    </row>
    <row r="51" customFormat="false" ht="15" hidden="false" customHeight="false" outlineLevel="0" collapsed="false">
      <c r="B51" s="47" t="s">
        <v>286</v>
      </c>
      <c r="C51" s="42" t="n">
        <f aca="false">C50/C25</f>
        <v>0.246394657507593</v>
      </c>
      <c r="D51" s="42" t="n">
        <f aca="false">D50/D25</f>
        <v>0.231210467100944</v>
      </c>
      <c r="E51" s="42" t="n">
        <f aca="false">E50/E25</f>
        <v>0.237310982046262</v>
      </c>
      <c r="F51" s="42" t="n">
        <f aca="false">F50/F25</f>
        <v>0.241097585669388</v>
      </c>
      <c r="G51" s="42" t="n">
        <f aca="false">G50/G25</f>
        <v>0.243491270597578</v>
      </c>
      <c r="H51" s="42" t="n">
        <f aca="false">H50/H25</f>
        <v>0.245891642788325</v>
      </c>
    </row>
    <row r="52" customFormat="false" ht="15" hidden="false" customHeight="false" outlineLevel="0" collapsed="false">
      <c r="B52" s="47" t="s">
        <v>287</v>
      </c>
      <c r="C52" s="42" t="n">
        <f aca="false">C50/C29</f>
        <v>0.636050194395595</v>
      </c>
      <c r="D52" s="42" t="n">
        <f aca="false">D50/D29</f>
        <v>0.58982262015547</v>
      </c>
      <c r="E52" s="42" t="n">
        <f aca="false">E50/E29</f>
        <v>0.59927015668248</v>
      </c>
      <c r="F52" s="42" t="n">
        <f aca="false">F50/F29</f>
        <v>0.602743964173471</v>
      </c>
      <c r="G52" s="42" t="n">
        <f aca="false">G50/G29</f>
        <v>0.605699678103428</v>
      </c>
      <c r="H52" s="42" t="n">
        <f aca="false">H50/H29</f>
        <v>0.608642680169121</v>
      </c>
    </row>
    <row r="53" customFormat="false" ht="15" hidden="false" customHeight="false" outlineLevel="0" collapsed="false">
      <c r="B53" s="47" t="s">
        <v>288</v>
      </c>
      <c r="C53" s="56" t="n">
        <f aca="false">Historicals!$E$55</f>
        <v>857</v>
      </c>
      <c r="D53" s="46" t="n">
        <f aca="false">D25*D18</f>
        <v>917.5513053</v>
      </c>
      <c r="E53" s="46" t="n">
        <f aca="false">E25*E18</f>
        <v>955.801081347</v>
      </c>
      <c r="F53" s="46" t="n">
        <f aca="false">F25*F18</f>
        <v>992.989380043465</v>
      </c>
      <c r="G53" s="46" t="n">
        <f aca="false">G25*G18</f>
        <v>1027.74400834499</v>
      </c>
      <c r="H53" s="46" t="n">
        <f aca="false">H25*H18</f>
        <v>1059.69441385885</v>
      </c>
    </row>
    <row r="55" customFormat="false" ht="15" hidden="false" customHeight="false" outlineLevel="0" collapsed="false">
      <c r="B55" s="29" t="s">
        <v>289</v>
      </c>
      <c r="C55" s="30"/>
      <c r="D55" s="30"/>
      <c r="E55" s="30"/>
      <c r="F55" s="30"/>
      <c r="G55" s="30"/>
      <c r="H55" s="30"/>
    </row>
    <row r="56" customFormat="false" ht="15" hidden="false" customHeight="false" outlineLevel="0" collapsed="false">
      <c r="B56" s="31" t="s">
        <v>290</v>
      </c>
      <c r="C56" s="46" t="n">
        <f aca="false">C21+C22+C24-C25</f>
        <v>0</v>
      </c>
      <c r="D56" s="46" t="n">
        <f aca="false">D21+D22+D24-D25</f>
        <v>0</v>
      </c>
      <c r="E56" s="46" t="n">
        <f aca="false">E21+E22+E24-E25</f>
        <v>0</v>
      </c>
      <c r="F56" s="46" t="n">
        <f aca="false">F21+F22+F24-F25</f>
        <v>0</v>
      </c>
      <c r="G56" s="46" t="n">
        <f aca="false">G21+G22+G24-G25</f>
        <v>0</v>
      </c>
      <c r="H56" s="46" t="n">
        <f aca="false">H21+H22+H24-H25</f>
        <v>0</v>
      </c>
    </row>
    <row r="57" customFormat="false" ht="15" hidden="false" customHeight="false" outlineLevel="0" collapsed="false">
      <c r="B57" s="31" t="s">
        <v>291</v>
      </c>
      <c r="C57" s="46" t="n">
        <f aca="false">C29+C34+C48+C49-C50</f>
        <v>0</v>
      </c>
      <c r="D57" s="46" t="n">
        <f aca="false">D29+D34+D48+D49-D50</f>
        <v>0</v>
      </c>
      <c r="E57" s="46" t="n">
        <f aca="false">E29+E34+E48+E49-E50</f>
        <v>0</v>
      </c>
      <c r="F57" s="46" t="n">
        <f aca="false">F29+F34+F48+F49-F50</f>
        <v>0</v>
      </c>
      <c r="G57" s="46" t="n">
        <f aca="false">G29+G34+G48+G49-G50</f>
        <v>0</v>
      </c>
      <c r="H57" s="46" t="n">
        <f aca="false">H29+H34+H48+H49-H50</f>
        <v>0</v>
      </c>
    </row>
    <row r="58" customFormat="false" ht="15" hidden="false" customHeight="false" outlineLevel="0" collapsed="false">
      <c r="B58" s="31" t="s">
        <v>292</v>
      </c>
      <c r="D58" s="46" t="n">
        <f aca="false">C42-D43-D42</f>
        <v>0</v>
      </c>
      <c r="E58" s="46" t="n">
        <f aca="false">D42-E43-E42</f>
        <v>0</v>
      </c>
      <c r="F58" s="46" t="n">
        <f aca="false">E42-F43-F42</f>
        <v>0</v>
      </c>
      <c r="G58" s="46" t="n">
        <f aca="false">F42-G43-G42</f>
        <v>0</v>
      </c>
      <c r="H58" s="46" t="n">
        <f aca="false">G42-H43-H42</f>
        <v>0</v>
      </c>
    </row>
    <row r="59" customFormat="false" ht="15" hidden="false" customHeight="false" outlineLevel="0" collapsed="false">
      <c r="B59" s="31" t="s">
        <v>293</v>
      </c>
      <c r="C59" s="56" t="n">
        <f aca="false">(C25-Historicals!$E$11)+(C29-Historicals!$E$56)</f>
        <v>0</v>
      </c>
      <c r="D59" s="46" t="n">
        <f aca="false">$C59</f>
        <v>0</v>
      </c>
      <c r="E59" s="46" t="n">
        <f aca="false">$C59</f>
        <v>0</v>
      </c>
      <c r="F59" s="46" t="n">
        <f aca="false">$C59</f>
        <v>0</v>
      </c>
      <c r="G59" s="46" t="n">
        <f aca="false">$C59</f>
        <v>0</v>
      </c>
      <c r="H59" s="46" t="n">
        <f aca="false">$C59</f>
        <v>0</v>
      </c>
    </row>
    <row r="60" customFormat="false" ht="15" hidden="false" customHeight="false" outlineLevel="0" collapsed="false">
      <c r="B60" s="40" t="s">
        <v>294</v>
      </c>
      <c r="C60" s="51" t="n">
        <f aca="false">ROUND(SUMPRODUCT(ABS(C56:C59)),3)</f>
        <v>0</v>
      </c>
      <c r="D60" s="51" t="n">
        <f aca="false">ROUND(SUMPRODUCT(ABS(D56:D59)),3)</f>
        <v>0</v>
      </c>
      <c r="E60" s="51" t="n">
        <f aca="false">ROUND(SUMPRODUCT(ABS(E56:E59)),3)</f>
        <v>0</v>
      </c>
      <c r="F60" s="51" t="n">
        <f aca="false">ROUND(SUMPRODUCT(ABS(F56:F59)),3)</f>
        <v>0</v>
      </c>
      <c r="G60" s="51" t="n">
        <f aca="false">ROUND(SUMPRODUCT(ABS(G56:G59)),3)</f>
        <v>0</v>
      </c>
      <c r="H60" s="51" t="n">
        <f aca="false">ROUND(SUMPRODUCT(ABS(H56:H59)),3)</f>
        <v>0</v>
      </c>
      <c r="J60" s="18" t="str">
        <f aca="false">IF(SUM(C60:H60)=0,"OK – model balances","ERROR – check rows above")</f>
        <v>OK – model balances</v>
      </c>
    </row>
  </sheetData>
  <conditionalFormatting sqref="C60:H60">
    <cfRule type="expression" priority="2" aboveAverage="0" equalAverage="0" bottom="0" percent="0" rank="0" text="" dxfId="2">
      <formula>C60&lt;&gt;0</formula>
    </cfRule>
    <cfRule type="expression" priority="3" aboveAverage="0" equalAverage="0" bottom="0" percent="0" rank="0" text="" dxfId="1">
      <formula>C60=0</formula>
    </cfRule>
  </conditionalFormatting>
  <conditionalFormatting sqref="J60">
    <cfRule type="expression" priority="4" aboveAverage="0" equalAverage="0" bottom="0" percent="0" rank="0" text="" dxfId="2">
      <formula>SUM($C$60:$H$60)&lt;&gt;0</formula>
    </cfRule>
    <cfRule type="expression" priority="5" aboveAverage="0" equalAverage="0" bottom="0" percent="0" rank="0" text="" dxfId="1">
      <formula>SUM($C$60:$H$60)=0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60"/>
  </cols>
  <sheetData>
    <row r="1" customFormat="false" ht="24.45" hidden="false" customHeight="false" outlineLevel="0" collapsed="false">
      <c r="B1" s="17" t="s">
        <v>295</v>
      </c>
    </row>
    <row r="2" customFormat="false" ht="15" hidden="false" customHeight="false" outlineLevel="0" collapsed="false">
      <c r="B2" s="16" t="s">
        <v>296</v>
      </c>
    </row>
    <row r="4" customFormat="false" ht="15" hidden="false" customHeight="false" outlineLevel="0" collapsed="false">
      <c r="B4" s="20" t="s">
        <v>297</v>
      </c>
      <c r="C4" s="21" t="s">
        <v>17</v>
      </c>
      <c r="D4" s="21"/>
      <c r="E4" s="21" t="s">
        <v>298</v>
      </c>
    </row>
    <row r="6" customFormat="false" ht="15" hidden="false" customHeight="false" outlineLevel="0" collapsed="false">
      <c r="B6" s="29" t="s">
        <v>299</v>
      </c>
      <c r="C6" s="30"/>
      <c r="D6" s="30"/>
      <c r="E6" s="30"/>
    </row>
    <row r="7" customFormat="false" ht="15" hidden="false" customHeight="false" outlineLevel="0" collapsed="false">
      <c r="B7" s="31" t="s">
        <v>300</v>
      </c>
      <c r="C7" s="58" t="n">
        <f aca="false">Assumptions!$D$8</f>
        <v>357</v>
      </c>
    </row>
    <row r="8" customFormat="false" ht="15" hidden="false" customHeight="false" outlineLevel="0" collapsed="false">
      <c r="B8" s="31" t="s">
        <v>137</v>
      </c>
      <c r="C8" s="59" t="n">
        <f aca="false">Historicals!$E$30</f>
        <v>803</v>
      </c>
      <c r="E8" s="16" t="s">
        <v>301</v>
      </c>
    </row>
    <row r="9" customFormat="false" ht="15" hidden="false" customHeight="false" outlineLevel="0" collapsed="false">
      <c r="B9" s="40" t="s">
        <v>302</v>
      </c>
      <c r="C9" s="41" t="n">
        <f aca="false">C7*C8</f>
        <v>286671</v>
      </c>
    </row>
    <row r="10" customFormat="false" ht="15" hidden="false" customHeight="false" outlineLevel="0" collapsed="false">
      <c r="B10" s="31" t="s">
        <v>303</v>
      </c>
      <c r="C10" s="56" t="n">
        <f aca="false">Historicals!$E$111</f>
        <v>31636</v>
      </c>
      <c r="E10" s="16" t="s">
        <v>304</v>
      </c>
    </row>
    <row r="11" customFormat="false" ht="15" hidden="false" customHeight="false" outlineLevel="0" collapsed="false">
      <c r="B11" s="31" t="s">
        <v>218</v>
      </c>
      <c r="C11" s="56" t="n">
        <f aca="false">Historicals!$E$110</f>
        <v>1555</v>
      </c>
    </row>
    <row r="12" customFormat="false" ht="15" hidden="false" customHeight="false" outlineLevel="0" collapsed="false">
      <c r="B12" s="40" t="s">
        <v>305</v>
      </c>
      <c r="C12" s="41" t="n">
        <f aca="false">C10+C11</f>
        <v>33191</v>
      </c>
    </row>
    <row r="13" customFormat="false" ht="15" hidden="false" customHeight="false" outlineLevel="0" collapsed="false">
      <c r="B13" s="31" t="s">
        <v>306</v>
      </c>
      <c r="C13" s="46" t="n">
        <f aca="false">C9+C12</f>
        <v>319862</v>
      </c>
    </row>
    <row r="14" customFormat="false" ht="15" hidden="false" customHeight="false" outlineLevel="0" collapsed="false">
      <c r="B14" s="31" t="s">
        <v>307</v>
      </c>
      <c r="C14" s="42" t="n">
        <f aca="false">C12/C9</f>
        <v>0.115780807964531</v>
      </c>
    </row>
    <row r="15" customFormat="false" ht="15" hidden="false" customHeight="false" outlineLevel="0" collapsed="false">
      <c r="B15" s="40" t="s">
        <v>308</v>
      </c>
      <c r="C15" s="60" t="n">
        <f aca="false">C12/C13</f>
        <v>0.103766624356754</v>
      </c>
    </row>
    <row r="16" customFormat="false" ht="15" hidden="false" customHeight="false" outlineLevel="0" collapsed="false">
      <c r="B16" s="40" t="s">
        <v>309</v>
      </c>
      <c r="C16" s="60" t="n">
        <f aca="false">C9/C13</f>
        <v>0.896233375643246</v>
      </c>
    </row>
    <row r="18" customFormat="false" ht="15" hidden="false" customHeight="false" outlineLevel="0" collapsed="false">
      <c r="B18" s="29" t="s">
        <v>310</v>
      </c>
      <c r="C18" s="30"/>
      <c r="D18" s="30"/>
      <c r="E18" s="30"/>
    </row>
    <row r="19" customFormat="false" ht="15" hidden="false" customHeight="false" outlineLevel="0" collapsed="false">
      <c r="B19" s="31" t="s">
        <v>311</v>
      </c>
      <c r="C19" s="54" t="n">
        <f aca="false">Assumptions!$G$46</f>
        <v>0.19</v>
      </c>
    </row>
    <row r="20" customFormat="false" ht="15" hidden="false" customHeight="false" outlineLevel="0" collapsed="false">
      <c r="B20" s="31" t="s">
        <v>312</v>
      </c>
      <c r="C20" s="61" t="n">
        <f aca="false">Assumptions!$D$11</f>
        <v>0.35</v>
      </c>
    </row>
    <row r="21" customFormat="false" ht="15" hidden="false" customHeight="false" outlineLevel="0" collapsed="false">
      <c r="B21" s="31" t="s">
        <v>313</v>
      </c>
      <c r="C21" s="45" t="n">
        <f aca="false">0.67*C20+0.33</f>
        <v>0.5645</v>
      </c>
      <c r="E21" s="16" t="s">
        <v>314</v>
      </c>
    </row>
    <row r="22" customFormat="false" ht="15" hidden="false" customHeight="false" outlineLevel="0" collapsed="false">
      <c r="B22" s="31" t="s">
        <v>315</v>
      </c>
      <c r="C22" s="45" t="n">
        <f aca="false">C21/(1+(1-C19)*C14)</f>
        <v>0.516098971694695</v>
      </c>
      <c r="E22" s="16" t="s">
        <v>316</v>
      </c>
    </row>
    <row r="23" customFormat="false" ht="15" hidden="false" customHeight="false" outlineLevel="0" collapsed="false">
      <c r="B23" s="40" t="s">
        <v>317</v>
      </c>
      <c r="C23" s="62" t="n">
        <f aca="false">Assumptions!$G$53</f>
        <v>0.8</v>
      </c>
    </row>
    <row r="24" customFormat="false" ht="15" hidden="false" customHeight="false" outlineLevel="0" collapsed="false">
      <c r="B24" s="40" t="s">
        <v>318</v>
      </c>
      <c r="C24" s="63" t="n">
        <f aca="false">C23*(1+(1-C19)*C14)</f>
        <v>0.875025963561016</v>
      </c>
    </row>
    <row r="26" customFormat="false" ht="15" hidden="false" customHeight="false" outlineLevel="0" collapsed="false">
      <c r="B26" s="29" t="s">
        <v>319</v>
      </c>
      <c r="C26" s="30"/>
      <c r="D26" s="30"/>
      <c r="E26" s="30"/>
    </row>
    <row r="27" customFormat="false" ht="15" hidden="false" customHeight="false" outlineLevel="0" collapsed="false">
      <c r="B27" s="31" t="s">
        <v>320</v>
      </c>
      <c r="C27" s="54" t="n">
        <f aca="false">Assumptions!$G$51</f>
        <v>0.01</v>
      </c>
    </row>
    <row r="28" customFormat="false" ht="15" hidden="false" customHeight="false" outlineLevel="0" collapsed="false">
      <c r="B28" s="31" t="s">
        <v>94</v>
      </c>
      <c r="C28" s="54" t="n">
        <f aca="false">Assumptions!$G$52</f>
        <v>0.065</v>
      </c>
    </row>
    <row r="29" customFormat="false" ht="15" hidden="false" customHeight="false" outlineLevel="0" collapsed="false">
      <c r="B29" s="40" t="s">
        <v>321</v>
      </c>
      <c r="C29" s="49" t="n">
        <f aca="false">C27+C24*C28</f>
        <v>0.066876687631466</v>
      </c>
    </row>
    <row r="31" customFormat="false" ht="15" hidden="false" customHeight="false" outlineLevel="0" collapsed="false">
      <c r="B31" s="29" t="s">
        <v>322</v>
      </c>
      <c r="C31" s="30"/>
      <c r="D31" s="30"/>
      <c r="E31" s="30"/>
    </row>
    <row r="32" customFormat="false" ht="15" hidden="false" customHeight="false" outlineLevel="0" collapsed="false">
      <c r="B32" s="31" t="s">
        <v>323</v>
      </c>
      <c r="C32" s="54" t="n">
        <f aca="false">Historicals!$E$60/AVERAGE(Historicals!$D$111,Historicals!$E$111)</f>
        <v>0.0343038165635843</v>
      </c>
      <c r="E32" s="16" t="s">
        <v>324</v>
      </c>
    </row>
    <row r="33" customFormat="false" ht="15" hidden="false" customHeight="false" outlineLevel="0" collapsed="false">
      <c r="B33" s="31" t="s">
        <v>325</v>
      </c>
      <c r="C33" s="54" t="n">
        <f aca="false">Assumptions!$G$54</f>
        <v>0.035</v>
      </c>
    </row>
    <row r="34" customFormat="false" ht="15" hidden="false" customHeight="false" outlineLevel="0" collapsed="false">
      <c r="B34" s="40" t="s">
        <v>326</v>
      </c>
      <c r="C34" s="49" t="n">
        <f aca="false">C33*(1-C19)</f>
        <v>0.02835</v>
      </c>
    </row>
    <row r="36" customFormat="false" ht="15" hidden="false" customHeight="false" outlineLevel="0" collapsed="false">
      <c r="B36" s="29" t="s">
        <v>327</v>
      </c>
      <c r="C36" s="30"/>
      <c r="D36" s="30"/>
      <c r="E36" s="30"/>
    </row>
    <row r="37" customFormat="false" ht="15" hidden="false" customHeight="false" outlineLevel="0" collapsed="false">
      <c r="B37" s="40" t="s">
        <v>295</v>
      </c>
      <c r="C37" s="64" t="n">
        <f aca="false">C16*C29+C15*C34</f>
        <v>0.0628789033083017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8" min="4" style="0" width="13"/>
    <col collapsed="false" customWidth="true" hidden="false" outlineLevel="0" max="9" min="9" style="0" width="3"/>
    <col collapsed="false" customWidth="true" hidden="false" outlineLevel="0" max="10" min="10" style="0" width="44"/>
  </cols>
  <sheetData>
    <row r="1" customFormat="false" ht="24.45" hidden="false" customHeight="false" outlineLevel="0" collapsed="false">
      <c r="B1" s="17" t="s">
        <v>328</v>
      </c>
    </row>
    <row r="2" customFormat="false" ht="15" hidden="false" customHeight="false" outlineLevel="0" collapsed="false">
      <c r="B2" s="16" t="s">
        <v>329</v>
      </c>
      <c r="E2" s="53" t="str">
        <f aca="false">"Scenario: "&amp;Assumptions!$E$4</f>
        <v>Scenario: Base case</v>
      </c>
    </row>
    <row r="4" customFormat="false" ht="15" hidden="false" customHeight="false" outlineLevel="0" collapsed="false">
      <c r="B4" s="29" t="s">
        <v>330</v>
      </c>
      <c r="C4" s="30"/>
      <c r="D4" s="30"/>
      <c r="E4" s="30"/>
      <c r="F4" s="30"/>
      <c r="G4" s="30"/>
      <c r="H4" s="30"/>
    </row>
    <row r="5" customFormat="false" ht="15" hidden="false" customHeight="false" outlineLevel="0" collapsed="false">
      <c r="B5" s="31" t="s">
        <v>19</v>
      </c>
      <c r="C5" s="65" t="n">
        <f aca="false">Assumptions!$D$7</f>
        <v>46267</v>
      </c>
    </row>
    <row r="6" customFormat="false" ht="15" hidden="false" customHeight="false" outlineLevel="0" collapsed="false">
      <c r="B6" s="31" t="s">
        <v>295</v>
      </c>
      <c r="C6" s="66" t="n">
        <f aca="false">WACC!$C$37</f>
        <v>0.0628789033083017</v>
      </c>
    </row>
    <row r="7" customFormat="false" ht="15" hidden="false" customHeight="false" outlineLevel="0" collapsed="false">
      <c r="B7" s="31" t="s">
        <v>331</v>
      </c>
      <c r="C7" s="66" t="n">
        <f aca="false">Assumptions!$G$48</f>
        <v>0.015</v>
      </c>
    </row>
    <row r="8" customFormat="false" ht="15" hidden="false" customHeight="false" outlineLevel="0" collapsed="false">
      <c r="B8" s="31" t="s">
        <v>332</v>
      </c>
      <c r="C8" s="67" t="n">
        <f aca="false">Assumptions!$G$49</f>
        <v>12</v>
      </c>
    </row>
    <row r="9" customFormat="false" ht="15" hidden="false" customHeight="false" outlineLevel="0" collapsed="false">
      <c r="B9" s="31" t="s">
        <v>333</v>
      </c>
      <c r="C9" s="68" t="n">
        <f aca="false">Assumptions!$D$8</f>
        <v>357</v>
      </c>
    </row>
    <row r="12" customFormat="false" ht="15" hidden="false" customHeight="false" outlineLevel="0" collapsed="false">
      <c r="B12" s="20"/>
      <c r="C12" s="21"/>
      <c r="D12" s="21" t="s">
        <v>258</v>
      </c>
      <c r="E12" s="21" t="s">
        <v>259</v>
      </c>
      <c r="F12" s="21" t="s">
        <v>260</v>
      </c>
      <c r="G12" s="21" t="s">
        <v>261</v>
      </c>
      <c r="H12" s="21" t="s">
        <v>262</v>
      </c>
    </row>
    <row r="13" customFormat="false" ht="15" hidden="false" customHeight="false" outlineLevel="0" collapsed="false">
      <c r="B13" s="31" t="s">
        <v>334</v>
      </c>
      <c r="D13" s="69" t="n">
        <f aca="false">DATE(YEAR($C$5),12,31)</f>
        <v>46387</v>
      </c>
      <c r="E13" s="69" t="n">
        <f aca="false">DATE(YEAR(D13)+1,12,31)</f>
        <v>46752</v>
      </c>
      <c r="F13" s="69" t="n">
        <f aca="false">DATE(YEAR(E13)+1,12,31)</f>
        <v>47118</v>
      </c>
      <c r="G13" s="69" t="n">
        <f aca="false">DATE(YEAR(F13)+1,12,31)</f>
        <v>47483</v>
      </c>
      <c r="H13" s="69" t="n">
        <f aca="false">DATE(YEAR(G13)+1,12,31)</f>
        <v>47848</v>
      </c>
    </row>
    <row r="14" customFormat="false" ht="15" hidden="false" customHeight="false" outlineLevel="0" collapsed="false">
      <c r="B14" s="31" t="s">
        <v>335</v>
      </c>
      <c r="D14" s="70" t="n">
        <f aca="false">MIN(1,(D13-$C$5)/(D13-DATE(YEAR(D13)-1,12,31)))</f>
        <v>0.328767123287671</v>
      </c>
      <c r="E14" s="70" t="n">
        <f aca="false">MIN(1,(E13-$C$5)/(E13-DATE(YEAR(E13)-1,12,31)))</f>
        <v>1</v>
      </c>
      <c r="F14" s="70" t="n">
        <f aca="false">MIN(1,(F13-$C$5)/(F13-DATE(YEAR(F13)-1,12,31)))</f>
        <v>1</v>
      </c>
      <c r="G14" s="70" t="n">
        <f aca="false">MIN(1,(G13-$C$5)/(G13-DATE(YEAR(G13)-1,12,31)))</f>
        <v>1</v>
      </c>
      <c r="H14" s="70" t="n">
        <f aca="false">MIN(1,(H13-$C$5)/(H13-DATE(YEAR(H13)-1,12,31)))</f>
        <v>1</v>
      </c>
    </row>
    <row r="15" customFormat="false" ht="15" hidden="false" customHeight="false" outlineLevel="0" collapsed="false">
      <c r="B15" s="31" t="s">
        <v>336</v>
      </c>
      <c r="D15" s="70" t="n">
        <f aca="false">SUM($D$14:D14)-D14/2</f>
        <v>0.164383561643836</v>
      </c>
      <c r="E15" s="70" t="n">
        <f aca="false">SUM($D$14:E14)-E14/2</f>
        <v>0.828767123287671</v>
      </c>
      <c r="F15" s="70" t="n">
        <f aca="false">SUM($D$14:F14)-F14/2</f>
        <v>1.82876712328767</v>
      </c>
      <c r="G15" s="70" t="n">
        <f aca="false">SUM($D$14:G14)-G14/2</f>
        <v>2.82876712328767</v>
      </c>
      <c r="H15" s="70" t="n">
        <f aca="false">SUM($D$14:H14)-H14/2</f>
        <v>3.82876712328767</v>
      </c>
    </row>
    <row r="16" customFormat="false" ht="15" hidden="false" customHeight="false" outlineLevel="0" collapsed="false">
      <c r="B16" s="31" t="s">
        <v>272</v>
      </c>
      <c r="D16" s="56" t="n">
        <f aca="false">'Operating Model'!$D$29</f>
        <v>25691.4365484</v>
      </c>
      <c r="E16" s="56" t="n">
        <f aca="false">'Operating Model'!$E$29</f>
        <v>27035.516300958</v>
      </c>
      <c r="F16" s="56" t="n">
        <f aca="false">'Operating Model'!$F$29</f>
        <v>28371.125144099</v>
      </c>
      <c r="G16" s="56" t="n">
        <f aca="false">'Operating Model'!$G$29</f>
        <v>29510.9350967632</v>
      </c>
      <c r="H16" s="56" t="n">
        <f aca="false">'Operating Model'!$H$29</f>
        <v>30579.7530856412</v>
      </c>
    </row>
    <row r="17" customFormat="false" ht="15" hidden="false" customHeight="false" outlineLevel="0" collapsed="false">
      <c r="B17" s="31" t="s">
        <v>337</v>
      </c>
      <c r="D17" s="56" t="n">
        <f aca="false">'Operating Model'!$D$50</f>
        <v>15153.3904205353</v>
      </c>
      <c r="E17" s="56" t="n">
        <f aca="false">'Operating Model'!$E$50</f>
        <v>16201.5780896669</v>
      </c>
      <c r="F17" s="56" t="n">
        <f aca="false">'Operating Model'!$F$50</f>
        <v>17100.5244374159</v>
      </c>
      <c r="G17" s="56" t="n">
        <f aca="false">'Operating Model'!$G$50</f>
        <v>17874.7638886406</v>
      </c>
      <c r="H17" s="56" t="n">
        <f aca="false">'Operating Model'!$H$50</f>
        <v>18612.1428769546</v>
      </c>
    </row>
    <row r="18" customFormat="false" ht="15" hidden="false" customHeight="false" outlineLevel="0" collapsed="false">
      <c r="B18" s="40" t="s">
        <v>338</v>
      </c>
      <c r="D18" s="51" t="n">
        <f aca="false">D17*D14</f>
        <v>4981.93657661434</v>
      </c>
      <c r="E18" s="51" t="n">
        <f aca="false">E17*E14</f>
        <v>16201.5780896669</v>
      </c>
      <c r="F18" s="51" t="n">
        <f aca="false">F17*F14</f>
        <v>17100.5244374159</v>
      </c>
      <c r="G18" s="51" t="n">
        <f aca="false">G17*G14</f>
        <v>17874.7638886406</v>
      </c>
      <c r="H18" s="51" t="n">
        <f aca="false">H17*H14</f>
        <v>18612.1428769546</v>
      </c>
    </row>
    <row r="19" customFormat="false" ht="15" hidden="false" customHeight="false" outlineLevel="0" collapsed="false">
      <c r="B19" s="31" t="s">
        <v>339</v>
      </c>
      <c r="D19" s="71" t="n">
        <f aca="false">1/(1+$C$6)^D15</f>
        <v>0.990025773423606</v>
      </c>
      <c r="E19" s="71" t="n">
        <f aca="false">1/(1+$C$6)^E15</f>
        <v>0.950716668002387</v>
      </c>
      <c r="F19" s="71" t="n">
        <f aca="false">1/(1+$C$6)^F15</f>
        <v>0.894473175677116</v>
      </c>
      <c r="G19" s="71" t="n">
        <f aca="false">1/(1+$C$6)^G15</f>
        <v>0.841556994774279</v>
      </c>
      <c r="H19" s="71" t="n">
        <f aca="false">1/(1+$C$6)^H15</f>
        <v>0.791771284720076</v>
      </c>
    </row>
    <row r="20" customFormat="false" ht="15" hidden="false" customHeight="false" outlineLevel="0" collapsed="false">
      <c r="B20" s="40" t="s">
        <v>340</v>
      </c>
      <c r="D20" s="41" t="n">
        <f aca="false">D18*D19</f>
        <v>4932.24561240997</v>
      </c>
      <c r="E20" s="41" t="n">
        <f aca="false">E18*E19</f>
        <v>15403.1103377885</v>
      </c>
      <c r="F20" s="41" t="n">
        <f aca="false">F18*F19</f>
        <v>15295.9603992795</v>
      </c>
      <c r="G20" s="41" t="n">
        <f aca="false">G18*G19</f>
        <v>15042.6325804242</v>
      </c>
      <c r="H20" s="41" t="n">
        <f aca="false">H18*H19</f>
        <v>14736.5602770799</v>
      </c>
    </row>
    <row r="22" customFormat="false" ht="15" hidden="false" customHeight="false" outlineLevel="0" collapsed="false">
      <c r="B22" s="29" t="s">
        <v>341</v>
      </c>
      <c r="C22" s="30"/>
      <c r="D22" s="30"/>
      <c r="E22" s="30"/>
      <c r="F22" s="30"/>
      <c r="G22" s="30"/>
      <c r="H22" s="30"/>
    </row>
    <row r="23" customFormat="false" ht="15" hidden="false" customHeight="false" outlineLevel="0" collapsed="false">
      <c r="B23" s="72"/>
      <c r="C23" s="73" t="s">
        <v>342</v>
      </c>
      <c r="D23" s="73" t="s">
        <v>343</v>
      </c>
    </row>
    <row r="24" customFormat="false" ht="15" hidden="false" customHeight="false" outlineLevel="0" collapsed="false">
      <c r="B24" s="31" t="s">
        <v>344</v>
      </c>
      <c r="C24" s="46" t="n">
        <f aca="false">SUM($D$20:$H$20)</f>
        <v>65410.5092069822</v>
      </c>
      <c r="D24" s="46" t="n">
        <f aca="false">SUM($D$20:$H$20)</f>
        <v>65410.5092069822</v>
      </c>
    </row>
    <row r="25" customFormat="false" ht="15" hidden="false" customHeight="false" outlineLevel="0" collapsed="false">
      <c r="B25" s="31" t="s">
        <v>345</v>
      </c>
      <c r="C25" s="46" t="n">
        <f aca="false">$H$17</f>
        <v>18612.1428769546</v>
      </c>
      <c r="D25" s="46" t="n">
        <f aca="false">$H$16</f>
        <v>30579.7530856412</v>
      </c>
    </row>
    <row r="26" customFormat="false" ht="15" hidden="false" customHeight="false" outlineLevel="0" collapsed="false">
      <c r="B26" s="40" t="s">
        <v>346</v>
      </c>
      <c r="C26" s="51" t="n">
        <f aca="false">C25*(1+$C$7)/($C$6-$C$7)</f>
        <v>394564.697910141</v>
      </c>
      <c r="D26" s="51" t="n">
        <f aca="false">D25*$C$8</f>
        <v>366957.037027694</v>
      </c>
    </row>
    <row r="27" customFormat="false" ht="15" hidden="false" customHeight="false" outlineLevel="0" collapsed="false">
      <c r="B27" s="31" t="s">
        <v>347</v>
      </c>
      <c r="C27" s="70" t="n">
        <f aca="false">$H$15</f>
        <v>3.82876712328767</v>
      </c>
      <c r="D27" s="70" t="n">
        <f aca="false">SUM($D$14:$H$14)</f>
        <v>4.32876712328767</v>
      </c>
      <c r="J27" s="16" t="s">
        <v>348</v>
      </c>
    </row>
    <row r="28" customFormat="false" ht="15" hidden="false" customHeight="false" outlineLevel="0" collapsed="false">
      <c r="B28" s="31" t="s">
        <v>349</v>
      </c>
      <c r="C28" s="46" t="n">
        <f aca="false">C26/(1+$C$6)^C27</f>
        <v>312404.997769501</v>
      </c>
      <c r="D28" s="46" t="n">
        <f aca="false">D26/(1+$C$6)^D27</f>
        <v>281820.819889277</v>
      </c>
    </row>
    <row r="29" customFormat="false" ht="15" hidden="false" customHeight="false" outlineLevel="0" collapsed="false">
      <c r="B29" s="40" t="s">
        <v>350</v>
      </c>
      <c r="C29" s="41" t="n">
        <f aca="false">C24+C28</f>
        <v>377815.506976483</v>
      </c>
      <c r="D29" s="41" t="n">
        <f aca="false">D24+D28</f>
        <v>347231.329096259</v>
      </c>
    </row>
    <row r="30" customFormat="false" ht="15" hidden="false" customHeight="false" outlineLevel="0" collapsed="false">
      <c r="B30" s="31" t="s">
        <v>351</v>
      </c>
      <c r="C30" s="42" t="n">
        <f aca="false">C28/C29</f>
        <v>0.826871825006766</v>
      </c>
      <c r="D30" s="42" t="n">
        <f aca="false">D28/D29</f>
        <v>0.811622674206194</v>
      </c>
    </row>
    <row r="31" customFormat="false" ht="15" hidden="false" customHeight="false" outlineLevel="0" collapsed="false">
      <c r="B31" s="31" t="s">
        <v>352</v>
      </c>
      <c r="C31" s="74" t="n">
        <f aca="false">C26/$H$16</f>
        <v>12.9028084957105</v>
      </c>
      <c r="D31" s="42" t="n">
        <f aca="false">($C$6*D26-$H$17)/(D26+$H$17)</f>
        <v>0.0115717578197356</v>
      </c>
    </row>
    <row r="32" customFormat="false" ht="15" hidden="false" customHeight="false" outlineLevel="0" collapsed="false">
      <c r="B32" s="31" t="s">
        <v>353</v>
      </c>
      <c r="C32" s="74" t="n">
        <f aca="false">C29/$D$16</f>
        <v>14.7058926138567</v>
      </c>
      <c r="D32" s="74" t="n">
        <f aca="false">D29/$D$16</f>
        <v>13.5154501166998</v>
      </c>
    </row>
    <row r="34" customFormat="false" ht="15" hidden="false" customHeight="false" outlineLevel="0" collapsed="false">
      <c r="B34" s="29" t="s">
        <v>354</v>
      </c>
      <c r="C34" s="30"/>
      <c r="D34" s="30"/>
      <c r="E34" s="30"/>
      <c r="F34" s="30"/>
      <c r="G34" s="30"/>
      <c r="H34" s="30"/>
    </row>
    <row r="35" customFormat="false" ht="15" hidden="false" customHeight="false" outlineLevel="0" collapsed="false">
      <c r="B35" s="72"/>
      <c r="C35" s="73" t="s">
        <v>342</v>
      </c>
      <c r="D35" s="73" t="s">
        <v>343</v>
      </c>
    </row>
    <row r="36" customFormat="false" ht="15" hidden="false" customHeight="false" outlineLevel="0" collapsed="false">
      <c r="B36" s="40" t="s">
        <v>350</v>
      </c>
      <c r="C36" s="51" t="n">
        <f aca="false">C29</f>
        <v>377815.506976483</v>
      </c>
      <c r="D36" s="51" t="n">
        <f aca="false">D29</f>
        <v>347231.329096259</v>
      </c>
    </row>
    <row r="37" customFormat="false" ht="15" hidden="false" customHeight="false" outlineLevel="0" collapsed="false">
      <c r="B37" s="31" t="s">
        <v>355</v>
      </c>
      <c r="C37" s="56" t="n">
        <f aca="false">-Historicals!$E$111</f>
        <v>-31636</v>
      </c>
      <c r="D37" s="56" t="n">
        <f aca="false">-Historicals!$E$111</f>
        <v>-31636</v>
      </c>
      <c r="J37" s="16" t="s">
        <v>356</v>
      </c>
    </row>
    <row r="38" customFormat="false" ht="15" hidden="false" customHeight="false" outlineLevel="0" collapsed="false">
      <c r="B38" s="31" t="s">
        <v>357</v>
      </c>
      <c r="C38" s="56" t="n">
        <f aca="false">-Historicals!$E$110</f>
        <v>-1555</v>
      </c>
      <c r="D38" s="56" t="n">
        <f aca="false">-Historicals!$E$110</f>
        <v>-1555</v>
      </c>
      <c r="J38" s="16" t="s">
        <v>358</v>
      </c>
    </row>
    <row r="39" customFormat="false" ht="15" hidden="false" customHeight="false" outlineLevel="0" collapsed="false">
      <c r="B39" s="31" t="s">
        <v>359</v>
      </c>
      <c r="C39" s="56" t="n">
        <f aca="false">Historicals!$E$85</f>
        <v>5582</v>
      </c>
      <c r="D39" s="56" t="n">
        <f aca="false">Historicals!$E$85</f>
        <v>5582</v>
      </c>
    </row>
    <row r="40" customFormat="false" ht="15" hidden="false" customHeight="false" outlineLevel="0" collapsed="false">
      <c r="B40" s="31" t="s">
        <v>360</v>
      </c>
      <c r="C40" s="56" t="n">
        <f aca="false">Historicals!$E$84</f>
        <v>9894</v>
      </c>
      <c r="D40" s="56" t="n">
        <f aca="false">Historicals!$E$84</f>
        <v>9894</v>
      </c>
    </row>
    <row r="41" customFormat="false" ht="15" hidden="false" customHeight="false" outlineLevel="0" collapsed="false">
      <c r="B41" s="31" t="s">
        <v>361</v>
      </c>
      <c r="C41" s="56" t="n">
        <f aca="false">-Historicals!$E$117</f>
        <v>-2159</v>
      </c>
      <c r="D41" s="56" t="n">
        <f aca="false">-Historicals!$E$117</f>
        <v>-2159</v>
      </c>
      <c r="J41" s="16" t="s">
        <v>362</v>
      </c>
    </row>
    <row r="42" customFormat="false" ht="15" hidden="false" customHeight="false" outlineLevel="0" collapsed="false">
      <c r="B42" s="31" t="s">
        <v>363</v>
      </c>
      <c r="C42" s="56" t="n">
        <f aca="false">-Historicals!$E$104</f>
        <v>-4078</v>
      </c>
      <c r="D42" s="56" t="n">
        <f aca="false">-Historicals!$E$104</f>
        <v>-4078</v>
      </c>
      <c r="J42" s="16" t="s">
        <v>364</v>
      </c>
    </row>
    <row r="43" customFormat="false" ht="15" hidden="false" customHeight="false" outlineLevel="0" collapsed="false">
      <c r="B43" s="31" t="s">
        <v>365</v>
      </c>
      <c r="C43" s="75" t="n">
        <f aca="false">SUM(C37:C42)</f>
        <v>-23952</v>
      </c>
      <c r="D43" s="75" t="n">
        <f aca="false">SUM(D37:D42)</f>
        <v>-23952</v>
      </c>
    </row>
    <row r="44" customFormat="false" ht="15" hidden="false" customHeight="false" outlineLevel="0" collapsed="false">
      <c r="B44" s="40" t="s">
        <v>366</v>
      </c>
      <c r="C44" s="41" t="n">
        <f aca="false">C36+C43</f>
        <v>353863.506976483</v>
      </c>
      <c r="D44" s="41" t="n">
        <f aca="false">D36+D43</f>
        <v>323279.329096259</v>
      </c>
    </row>
    <row r="45" customFormat="false" ht="15" hidden="false" customHeight="false" outlineLevel="0" collapsed="false">
      <c r="B45" s="31" t="s">
        <v>137</v>
      </c>
      <c r="C45" s="59" t="n">
        <f aca="false">Historicals!$E$30</f>
        <v>803</v>
      </c>
      <c r="D45" s="59" t="n">
        <f aca="false">Historicals!$E$30</f>
        <v>803</v>
      </c>
    </row>
    <row r="46" customFormat="false" ht="15" hidden="false" customHeight="false" outlineLevel="0" collapsed="false">
      <c r="B46" s="40" t="s">
        <v>367</v>
      </c>
      <c r="C46" s="76" t="n">
        <f aca="false">C44/C45</f>
        <v>440.676845549792</v>
      </c>
      <c r="D46" s="76" t="n">
        <f aca="false">D44/D45</f>
        <v>402.589450929339</v>
      </c>
    </row>
    <row r="47" customFormat="false" ht="15" hidden="false" customHeight="false" outlineLevel="0" collapsed="false">
      <c r="B47" s="31" t="s">
        <v>368</v>
      </c>
      <c r="C47" s="77" t="n">
        <f aca="false">$C$9</f>
        <v>357</v>
      </c>
      <c r="D47" s="77" t="n">
        <f aca="false">$C$9</f>
        <v>357</v>
      </c>
    </row>
    <row r="48" customFormat="false" ht="15" hidden="false" customHeight="false" outlineLevel="0" collapsed="false">
      <c r="B48" s="40" t="s">
        <v>369</v>
      </c>
      <c r="C48" s="60" t="n">
        <f aca="false">C46/C47-1</f>
        <v>0.234388923108661</v>
      </c>
      <c r="D48" s="60" t="n">
        <f aca="false">D46/D47-1</f>
        <v>0.127701543219437</v>
      </c>
    </row>
    <row r="50" customFormat="false" ht="15" hidden="false" customHeight="false" outlineLevel="0" collapsed="false">
      <c r="B50" s="40" t="s">
        <v>370</v>
      </c>
      <c r="C50" s="78" t="n">
        <f aca="false">AVERAGE(C46:D46)</f>
        <v>421.633148239566</v>
      </c>
    </row>
    <row r="51" customFormat="false" ht="15" hidden="false" customHeight="false" outlineLevel="0" collapsed="false">
      <c r="B51" s="31" t="s">
        <v>371</v>
      </c>
      <c r="C51" s="60" t="n">
        <f aca="false">C50/$C$9-1</f>
        <v>0.181045233164049</v>
      </c>
    </row>
  </sheetData>
  <conditionalFormatting sqref="C48:D48">
    <cfRule type="expression" priority="2" aboveAverage="0" equalAverage="0" bottom="0" percent="0" rank="0" text="" dxfId="3">
      <formula>C48&lt;0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9A61"/>
    <pageSetUpPr fitToPage="false"/>
  </sheetPr>
  <dimension ref="B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12" min="3" style="0" width="11"/>
  </cols>
  <sheetData>
    <row r="1" customFormat="false" ht="24.45" hidden="false" customHeight="false" outlineLevel="0" collapsed="false">
      <c r="B1" s="17" t="s">
        <v>372</v>
      </c>
    </row>
    <row r="2" customFormat="false" ht="15" hidden="false" customHeight="false" outlineLevel="0" collapsed="false">
      <c r="B2" s="16" t="s">
        <v>373</v>
      </c>
    </row>
    <row r="4" customFormat="false" ht="15" hidden="false" customHeight="false" outlineLevel="0" collapsed="false">
      <c r="B4" s="29" t="s">
        <v>374</v>
      </c>
      <c r="C4" s="30"/>
      <c r="D4" s="30"/>
      <c r="E4" s="30"/>
      <c r="F4" s="30"/>
      <c r="G4" s="30"/>
      <c r="H4" s="30"/>
      <c r="I4" s="30"/>
      <c r="J4" s="30"/>
      <c r="K4" s="30"/>
      <c r="L4" s="30"/>
    </row>
    <row r="5" customFormat="false" ht="15" hidden="false" customHeight="false" outlineLevel="0" collapsed="false">
      <c r="C5" s="79" t="s">
        <v>375</v>
      </c>
    </row>
    <row r="6" customFormat="false" ht="15" hidden="false" customHeight="false" outlineLevel="0" collapsed="false">
      <c r="B6" s="79" t="s">
        <v>376</v>
      </c>
      <c r="C6" s="80" t="n">
        <f aca="false">Assumptions!$G$48+(0-4)*Assumptions!$D$15</f>
        <v>0.005</v>
      </c>
      <c r="D6" s="80" t="n">
        <f aca="false">Assumptions!$G$48+(1-4)*Assumptions!$D$15</f>
        <v>0.0075</v>
      </c>
      <c r="E6" s="80" t="n">
        <f aca="false">Assumptions!$G$48+(2-4)*Assumptions!$D$15</f>
        <v>0.01</v>
      </c>
      <c r="F6" s="80" t="n">
        <f aca="false">Assumptions!$G$48+(3-4)*Assumptions!$D$15</f>
        <v>0.0125</v>
      </c>
      <c r="G6" s="80" t="n">
        <f aca="false">Assumptions!$G$48+(4-4)*Assumptions!$D$15</f>
        <v>0.015</v>
      </c>
      <c r="H6" s="80" t="n">
        <f aca="false">Assumptions!$G$48+(5-4)*Assumptions!$D$15</f>
        <v>0.0175</v>
      </c>
      <c r="I6" s="80" t="n">
        <f aca="false">Assumptions!$G$48+(6-4)*Assumptions!$D$15</f>
        <v>0.02</v>
      </c>
      <c r="J6" s="80" t="n">
        <f aca="false">Assumptions!$G$48+(7-4)*Assumptions!$D$15</f>
        <v>0.0225</v>
      </c>
      <c r="K6" s="80" t="n">
        <f aca="false">Assumptions!$G$48+(8-4)*Assumptions!$D$15</f>
        <v>0.025</v>
      </c>
    </row>
    <row r="7" customFormat="false" ht="15" hidden="false" customHeight="false" outlineLevel="0" collapsed="false">
      <c r="B7" s="80" t="n">
        <f aca="false">WACC!$C$37+(0-4)*Assumptions!$D$14</f>
        <v>0.0528789033083017</v>
      </c>
      <c r="C7" s="81" t="n">
        <f aca="false">(SUMPRODUCT(DCF!$D$18:$H$18/(1+$B7)^DCF!$D$15:$H$15)+DCF!$H$17*(1+C$6)/($B7-C$6)/(1+$B7)^DCF!$H$15+DCF!$C$43)/DCF!$C$45</f>
        <v>452.717997993365</v>
      </c>
      <c r="D7" s="81" t="n">
        <f aca="false">(SUMPRODUCT(DCF!$D$18:$H$18/(1+$B7)^DCF!$D$15:$H$15)+DCF!$H$17*(1+D$6)/($B7-D$6)/(1+$B7)^DCF!$H$15+DCF!$C$43)/DCF!$C$45</f>
        <v>475.770565463021</v>
      </c>
      <c r="E7" s="81" t="n">
        <f aca="false">(SUMPRODUCT(DCF!$D$18:$H$18/(1+$B7)^DCF!$D$15:$H$15)+DCF!$H$17*(1+E$6)/($B7-E$6)/(1+$B7)^DCF!$H$15+DCF!$C$43)/DCF!$C$45</f>
        <v>501.51123427052</v>
      </c>
      <c r="F7" s="81" t="n">
        <f aca="false">(SUMPRODUCT(DCF!$D$18:$H$18/(1+$B7)^DCF!$D$15:$H$15)+DCF!$H$17*(1+F$6)/($B7-F$6)/(1+$B7)^DCF!$H$15+DCF!$C$43)/DCF!$C$45</f>
        <v>530.439293856188</v>
      </c>
      <c r="G7" s="81" t="n">
        <f aca="false">(SUMPRODUCT(DCF!$D$18:$H$18/(1+$B7)^DCF!$D$15:$H$15)+DCF!$H$17*(1+G$6)/($B7-G$6)/(1+$B7)^DCF!$H$15+DCF!$C$43)/DCF!$C$45</f>
        <v>563.185845670924</v>
      </c>
      <c r="H7" s="81" t="n">
        <f aca="false">(SUMPRODUCT(DCF!$D$18:$H$18/(1+$B7)^DCF!$D$15:$H$15)+DCF!$H$17*(1+H$6)/($B7-H$6)/(1+$B7)^DCF!$H$15+DCF!$C$43)/DCF!$C$45</f>
        <v>600.560374719631</v>
      </c>
      <c r="I7" s="81" t="n">
        <f aca="false">(SUMPRODUCT(DCF!$D$18:$H$18/(1+$B7)^DCF!$D$15:$H$15)+DCF!$H$17*(1+I$6)/($B7-I$6)/(1+$B7)^DCF!$H$15+DCF!$C$43)/DCF!$C$45</f>
        <v>643.618567955408</v>
      </c>
      <c r="J7" s="81" t="n">
        <f aca="false">(SUMPRODUCT(DCF!$D$18:$H$18/(1+$B7)^DCF!$D$15:$H$15)+DCF!$H$17*(1+J$6)/($B7-J$6)/(1+$B7)^DCF!$H$15+DCF!$C$43)/DCF!$C$45</f>
        <v>693.763618935653</v>
      </c>
      <c r="K7" s="81" t="n">
        <f aca="false">(SUMPRODUCT(DCF!$D$18:$H$18/(1+$B7)^DCF!$D$15:$H$15)+DCF!$H$17*(1+K$6)/($B7-K$6)/(1+$B7)^DCF!$H$15+DCF!$C$43)/DCF!$C$45</f>
        <v>752.902038562023</v>
      </c>
    </row>
    <row r="8" customFormat="false" ht="15" hidden="false" customHeight="false" outlineLevel="0" collapsed="false">
      <c r="B8" s="80" t="n">
        <f aca="false">WACC!$C$37+(1-4)*Assumptions!$D$14</f>
        <v>0.0553789033083017</v>
      </c>
      <c r="C8" s="81" t="n">
        <f aca="false">(SUMPRODUCT(DCF!$D$18:$H$18/(1+$B8)^DCF!$D$15:$H$15)+DCF!$H$17*(1+C$6)/($B8-C$6)/(1+$B8)^DCF!$H$15+DCF!$C$43)/DCF!$C$45</f>
        <v>429.04147613007</v>
      </c>
      <c r="D8" s="81" t="n">
        <f aca="false">(SUMPRODUCT(DCF!$D$18:$H$18/(1+$B8)^DCF!$D$15:$H$15)+DCF!$H$17*(1+D$6)/($B8-D$6)/(1+$B8)^DCF!$H$15+DCF!$C$43)/DCF!$C$45</f>
        <v>449.667285590558</v>
      </c>
      <c r="E8" s="81" t="n">
        <f aca="false">(SUMPRODUCT(DCF!$D$18:$H$18/(1+$B8)^DCF!$D$15:$H$15)+DCF!$H$17*(1+E$6)/($B8-E$6)/(1+$B8)^DCF!$H$15+DCF!$C$43)/DCF!$C$45</f>
        <v>472.565716022112</v>
      </c>
      <c r="F8" s="81" t="n">
        <f aca="false">(SUMPRODUCT(DCF!$D$18:$H$18/(1+$B8)^DCF!$D$15:$H$15)+DCF!$H$17*(1+F$6)/($B8-F$6)/(1+$B8)^DCF!$H$15+DCF!$C$43)/DCF!$C$45</f>
        <v>498.134274263012</v>
      </c>
      <c r="G8" s="81" t="n">
        <f aca="false">(SUMPRODUCT(DCF!$D$18:$H$18/(1+$B8)^DCF!$D$15:$H$15)+DCF!$H$17*(1+G$6)/($B8-G$6)/(1+$B8)^DCF!$H$15+DCF!$C$43)/DCF!$C$45</f>
        <v>526.868911340388</v>
      </c>
      <c r="H8" s="81" t="n">
        <f aca="false">(SUMPRODUCT(DCF!$D$18:$H$18/(1+$B8)^DCF!$D$15:$H$15)+DCF!$H$17*(1+H$6)/($B8-H$6)/(1+$B8)^DCF!$H$15+DCF!$C$43)/DCF!$C$45</f>
        <v>559.396508953541</v>
      </c>
      <c r="I8" s="81" t="n">
        <f aca="false">(SUMPRODUCT(DCF!$D$18:$H$18/(1+$B8)^DCF!$D$15:$H$15)+DCF!$H$17*(1+I$6)/($B8-I$6)/(1+$B8)^DCF!$H$15+DCF!$C$43)/DCF!$C$45</f>
        <v>596.521139624741</v>
      </c>
      <c r="J8" s="81" t="n">
        <f aca="false">(SUMPRODUCT(DCF!$D$18:$H$18/(1+$B8)^DCF!$D$15:$H$15)+DCF!$H$17*(1+J$6)/($B8-J$6)/(1+$B8)^DCF!$H$15+DCF!$C$43)/DCF!$C$45</f>
        <v>639.291431637363</v>
      </c>
      <c r="K8" s="81" t="n">
        <f aca="false">(SUMPRODUCT(DCF!$D$18:$H$18/(1+$B8)^DCF!$D$15:$H$15)+DCF!$H$17*(1+K$6)/($B8-K$6)/(1+$B8)^DCF!$H$15+DCF!$C$43)/DCF!$C$45</f>
        <v>689.101196335777</v>
      </c>
    </row>
    <row r="9" customFormat="false" ht="15" hidden="false" customHeight="false" outlineLevel="0" collapsed="false">
      <c r="B9" s="80" t="n">
        <f aca="false">WACC!$C$37+(2-4)*Assumptions!$D$14</f>
        <v>0.0578789033083017</v>
      </c>
      <c r="C9" s="81" t="n">
        <f aca="false">(SUMPRODUCT(DCF!$D$18:$H$18/(1+$B9)^DCF!$D$15:$H$15)+DCF!$H$17*(1+C$6)/($B9-C$6)/(1+$B9)^DCF!$H$15+DCF!$C$43)/DCF!$C$45</f>
        <v>407.604556450217</v>
      </c>
      <c r="D9" s="81" t="n">
        <f aca="false">(SUMPRODUCT(DCF!$D$18:$H$18/(1+$B9)^DCF!$D$15:$H$15)+DCF!$H$17*(1+D$6)/($B9-D$6)/(1+$B9)^DCF!$H$15+DCF!$C$43)/DCF!$C$45</f>
        <v>426.155502511394</v>
      </c>
      <c r="E9" s="81" t="n">
        <f aca="false">(SUMPRODUCT(DCF!$D$18:$H$18/(1+$B9)^DCF!$D$15:$H$15)+DCF!$H$17*(1+E$6)/($B9-E$6)/(1+$B9)^DCF!$H$15+DCF!$C$43)/DCF!$C$45</f>
        <v>446.643726243878</v>
      </c>
      <c r="F9" s="81" t="n">
        <f aca="false">(SUMPRODUCT(DCF!$D$18:$H$18/(1+$B9)^DCF!$D$15:$H$15)+DCF!$H$17*(1+F$6)/($B9-F$6)/(1+$B9)^DCF!$H$15+DCF!$C$43)/DCF!$C$45</f>
        <v>469.389411289749</v>
      </c>
      <c r="G9" s="81" t="n">
        <f aca="false">(SUMPRODUCT(DCF!$D$18:$H$18/(1+$B9)^DCF!$D$15:$H$15)+DCF!$H$17*(1+G$6)/($B9-G$6)/(1+$B9)^DCF!$H$15+DCF!$C$43)/DCF!$C$45</f>
        <v>494.787412893524</v>
      </c>
      <c r="H9" s="81" t="n">
        <f aca="false">(SUMPRODUCT(DCF!$D$18:$H$18/(1+$B9)^DCF!$D$15:$H$15)+DCF!$H$17*(1+H$6)/($B9-H$6)/(1+$B9)^DCF!$H$15+DCF!$C$43)/DCF!$C$45</f>
        <v>523.330373810564</v>
      </c>
      <c r="I9" s="81" t="n">
        <f aca="false">(SUMPRODUCT(DCF!$D$18:$H$18/(1+$B9)^DCF!$D$15:$H$15)+DCF!$H$17*(1+I$6)/($B9-I$6)/(1+$B9)^DCF!$H$15+DCF!$C$43)/DCF!$C$45</f>
        <v>555.640994087318</v>
      </c>
      <c r="J9" s="81" t="n">
        <f aca="false">(SUMPRODUCT(DCF!$D$18:$H$18/(1+$B9)^DCF!$D$15:$H$15)+DCF!$H$17*(1+J$6)/($B9-J$6)/(1+$B9)^DCF!$H$15+DCF!$C$43)/DCF!$C$45</f>
        <v>592.517982630943</v>
      </c>
      <c r="K9" s="81" t="n">
        <f aca="false">(SUMPRODUCT(DCF!$D$18:$H$18/(1+$B9)^DCF!$D$15:$H$15)+DCF!$H$17*(1+K$6)/($B9-K$6)/(1+$B9)^DCF!$H$15+DCF!$C$43)/DCF!$C$45</f>
        <v>635.002972785485</v>
      </c>
    </row>
    <row r="10" customFormat="false" ht="15" hidden="false" customHeight="false" outlineLevel="0" collapsed="false">
      <c r="B10" s="80" t="n">
        <f aca="false">WACC!$C$37+(3-4)*Assumptions!$D$14</f>
        <v>0.0603789033083017</v>
      </c>
      <c r="C10" s="81" t="n">
        <f aca="false">(SUMPRODUCT(DCF!$D$18:$H$18/(1+$B10)^DCF!$D$15:$H$15)+DCF!$H$17*(1+C$6)/($B10-C$6)/(1+$B10)^DCF!$H$15+DCF!$C$43)/DCF!$C$45</f>
        <v>388.103917025024</v>
      </c>
      <c r="D10" s="81" t="n">
        <f aca="false">(SUMPRODUCT(DCF!$D$18:$H$18/(1+$B10)^DCF!$D$15:$H$15)+DCF!$H$17*(1+D$6)/($B10-D$6)/(1+$B10)^DCF!$H$15+DCF!$C$43)/DCF!$C$45</f>
        <v>404.867644364427</v>
      </c>
      <c r="E10" s="81" t="n">
        <f aca="false">(SUMPRODUCT(DCF!$D$18:$H$18/(1+$B10)^DCF!$D$15:$H$15)+DCF!$H$17*(1+E$6)/($B10-E$6)/(1+$B10)^DCF!$H$15+DCF!$C$43)/DCF!$C$45</f>
        <v>423.295136319429</v>
      </c>
      <c r="F10" s="81" t="n">
        <f aca="false">(SUMPRODUCT(DCF!$D$18:$H$18/(1+$B10)^DCF!$D$15:$H$15)+DCF!$H$17*(1+F$6)/($B10-F$6)/(1+$B10)^DCF!$H$15+DCF!$C$43)/DCF!$C$45</f>
        <v>443.647013617632</v>
      </c>
      <c r="G10" s="81" t="n">
        <f aca="false">(SUMPRODUCT(DCF!$D$18:$H$18/(1+$B10)^DCF!$D$15:$H$15)+DCF!$H$17*(1+G$6)/($B10-G$6)/(1+$B10)^DCF!$H$15+DCF!$C$43)/DCF!$C$45</f>
        <v>466.241329121087</v>
      </c>
      <c r="H10" s="81" t="n">
        <f aca="false">(SUMPRODUCT(DCF!$D$18:$H$18/(1+$B10)^DCF!$D$15:$H$15)+DCF!$H$17*(1+H$6)/($B10-H$6)/(1+$B10)^DCF!$H$15+DCF!$C$43)/DCF!$C$45</f>
        <v>491.470310364592</v>
      </c>
      <c r="I10" s="81" t="n">
        <f aca="false">(SUMPRODUCT(DCF!$D$18:$H$18/(1+$B10)^DCF!$D$15:$H$15)+DCF!$H$17*(1+I$6)/($B10-I$6)/(1+$B10)^DCF!$H$15+DCF!$C$43)/DCF!$C$45</f>
        <v>519.823321630765</v>
      </c>
      <c r="J10" s="81" t="n">
        <f aca="false">(SUMPRODUCT(DCF!$D$18:$H$18/(1+$B10)^DCF!$D$15:$H$15)+DCF!$H$17*(1+J$6)/($B10-J$6)/(1+$B10)^DCF!$H$15+DCF!$C$43)/DCF!$C$45</f>
        <v>551.918918979143</v>
      </c>
      <c r="K10" s="81" t="n">
        <f aca="false">(SUMPRODUCT(DCF!$D$18:$H$18/(1+$B10)^DCF!$D$15:$H$15)+DCF!$H$17*(1+K$6)/($B10-K$6)/(1+$B10)^DCF!$H$15+DCF!$C$43)/DCF!$C$45</f>
        <v>588.550496014156</v>
      </c>
    </row>
    <row r="11" customFormat="false" ht="15" hidden="false" customHeight="false" outlineLevel="0" collapsed="false">
      <c r="B11" s="80" t="n">
        <f aca="false">WACC!$C$37+(4-4)*Assumptions!$D$14</f>
        <v>0.0628789033083017</v>
      </c>
      <c r="C11" s="81" t="n">
        <f aca="false">(SUMPRODUCT(DCF!$D$18:$H$18/(1+$B11)^DCF!$D$15:$H$15)+DCF!$H$17*(1+C$6)/($B11-C$6)/(1+$B11)^DCF!$H$15+DCF!$C$43)/DCF!$C$45</f>
        <v>370.288642375648</v>
      </c>
      <c r="D11" s="81" t="n">
        <f aca="false">(SUMPRODUCT(DCF!$D$18:$H$18/(1+$B11)^DCF!$D$15:$H$15)+DCF!$H$17*(1+D$6)/($B11-D$6)/(1+$B11)^DCF!$H$15+DCF!$C$43)/DCF!$C$45</f>
        <v>385.502513419004</v>
      </c>
      <c r="E11" s="81" t="n">
        <f aca="false">(SUMPRODUCT(DCF!$D$18:$H$18/(1+$B11)^DCF!$D$15:$H$15)+DCF!$H$17*(1+E$6)/($B11-E$6)/(1+$B11)^DCF!$H$15+DCF!$C$43)/DCF!$C$45</f>
        <v>402.154942194416</v>
      </c>
      <c r="F11" s="81" t="n">
        <f aca="false">(SUMPRODUCT(DCF!$D$18:$H$18/(1+$B11)^DCF!$D$15:$H$15)+DCF!$H$17*(1+F$6)/($B11-F$6)/(1+$B11)^DCF!$H$15+DCF!$C$43)/DCF!$C$45</f>
        <v>420.460089437467</v>
      </c>
      <c r="G11" s="82" t="n">
        <f aca="false">(SUMPRODUCT(DCF!$D$18:$H$18/(1+$B11)^DCF!$D$15:$H$15)+DCF!$H$17*(1+G$6)/($B11-G$6)/(1+$B11)^DCF!$H$15+DCF!$C$43)/DCF!$C$45</f>
        <v>440.676845549792</v>
      </c>
      <c r="H11" s="81" t="n">
        <f aca="false">(SUMPRODUCT(DCF!$D$18:$H$18/(1+$B11)^DCF!$D$15:$H$15)+DCF!$H$17*(1+H$6)/($B11-H$6)/(1+$B11)^DCF!$H$15+DCF!$C$43)/DCF!$C$45</f>
        <v>463.121151761221</v>
      </c>
      <c r="I11" s="81" t="n">
        <f aca="false">(SUMPRODUCT(DCF!$D$18:$H$18/(1+$B11)^DCF!$D$15:$H$15)+DCF!$H$17*(1+I$6)/($B11-I$6)/(1+$B11)^DCF!$H$15+DCF!$C$43)/DCF!$C$45</f>
        <v>488.182631510188</v>
      </c>
      <c r="J11" s="81" t="n">
        <f aca="false">(SUMPRODUCT(DCF!$D$18:$H$18/(1+$B11)^DCF!$D$15:$H$15)+DCF!$H$17*(1+J$6)/($B11-J$6)/(1+$B11)^DCF!$H$15+DCF!$C$43)/DCF!$C$45</f>
        <v>516.34740006787</v>
      </c>
      <c r="K11" s="81" t="n">
        <f aca="false">(SUMPRODUCT(DCF!$D$18:$H$18/(1+$B11)^DCF!$D$15:$H$15)+DCF!$H$17*(1+K$6)/($B11-K$6)/(1+$B11)^DCF!$H$15+DCF!$C$43)/DCF!$C$45</f>
        <v>548.229906745958</v>
      </c>
    </row>
    <row r="12" customFormat="false" ht="15" hidden="false" customHeight="false" outlineLevel="0" collapsed="false">
      <c r="B12" s="80" t="n">
        <f aca="false">WACC!$C$37+(5-4)*Assumptions!$D$14</f>
        <v>0.0653789033083017</v>
      </c>
      <c r="C12" s="81" t="n">
        <f aca="false">(SUMPRODUCT(DCF!$D$18:$H$18/(1+$B12)^DCF!$D$15:$H$15)+DCF!$H$17*(1+C$6)/($B12-C$6)/(1+$B12)^DCF!$H$15+DCF!$C$43)/DCF!$C$45</f>
        <v>353.949373975714</v>
      </c>
      <c r="D12" s="81" t="n">
        <f aca="false">(SUMPRODUCT(DCF!$D$18:$H$18/(1+$B12)^DCF!$D$15:$H$15)+DCF!$H$17*(1+D$6)/($B12-D$6)/(1+$B12)^DCF!$H$15+DCF!$C$43)/DCF!$C$45</f>
        <v>367.810951374216</v>
      </c>
      <c r="E12" s="81" t="n">
        <f aca="false">(SUMPRODUCT(DCF!$D$18:$H$18/(1+$B12)^DCF!$D$15:$H$15)+DCF!$H$17*(1+E$6)/($B12-E$6)/(1+$B12)^DCF!$H$15+DCF!$C$43)/DCF!$C$45</f>
        <v>382.924050252055</v>
      </c>
      <c r="F12" s="81" t="n">
        <f aca="false">(SUMPRODUCT(DCF!$D$18:$H$18/(1+$B12)^DCF!$D$15:$H$15)+DCF!$H$17*(1+F$6)/($B12-F$6)/(1+$B12)^DCF!$H$15+DCF!$C$43)/DCF!$C$45</f>
        <v>399.466178282573</v>
      </c>
      <c r="G12" s="81" t="n">
        <f aca="false">(SUMPRODUCT(DCF!$D$18:$H$18/(1+$B12)^DCF!$D$15:$H$15)+DCF!$H$17*(1+G$6)/($B12-G$6)/(1+$B12)^DCF!$H$15+DCF!$C$43)/DCF!$C$45</f>
        <v>417.650077664214</v>
      </c>
      <c r="H12" s="81" t="n">
        <f aca="false">(SUMPRODUCT(DCF!$D$18:$H$18/(1+$B12)^DCF!$D$15:$H$15)+DCF!$H$17*(1+H$6)/($B12-H$6)/(1+$B12)^DCF!$H$15+DCF!$C$43)/DCF!$C$45</f>
        <v>437.732923985444</v>
      </c>
      <c r="I12" s="81" t="n">
        <f aca="false">(SUMPRODUCT(DCF!$D$18:$H$18/(1+$B12)^DCF!$D$15:$H$15)+DCF!$H$17*(1+I$6)/($B12-I$6)/(1+$B12)^DCF!$H$15+DCF!$C$43)/DCF!$C$45</f>
        <v>460.028565775175</v>
      </c>
      <c r="J12" s="81" t="n">
        <f aca="false">(SUMPRODUCT(DCF!$D$18:$H$18/(1+$B12)^DCF!$D$15:$H$15)+DCF!$H$17*(1+J$6)/($B12-J$6)/(1+$B12)^DCF!$H$15+DCF!$C$43)/DCF!$C$45</f>
        <v>484.924045721846</v>
      </c>
      <c r="K12" s="81" t="n">
        <f aca="false">(SUMPRODUCT(DCF!$D$18:$H$18/(1+$B12)^DCF!$D$15:$H$15)+DCF!$H$17*(1+K$6)/($B12-K$6)/(1+$B12)^DCF!$H$15+DCF!$C$43)/DCF!$C$45</f>
        <v>512.902259213382</v>
      </c>
    </row>
    <row r="13" customFormat="false" ht="15" hidden="false" customHeight="false" outlineLevel="0" collapsed="false">
      <c r="B13" s="80" t="n">
        <f aca="false">WACC!$C$37+(6-4)*Assumptions!$D$14</f>
        <v>0.0678789033083017</v>
      </c>
      <c r="C13" s="81" t="n">
        <f aca="false">(SUMPRODUCT(DCF!$D$18:$H$18/(1+$B13)^DCF!$D$15:$H$15)+DCF!$H$17*(1+C$6)/($B13-C$6)/(1+$B13)^DCF!$H$15+DCF!$C$43)/DCF!$C$45</f>
        <v>338.910048942504</v>
      </c>
      <c r="D13" s="81" t="n">
        <f aca="false">(SUMPRODUCT(DCF!$D$18:$H$18/(1+$B13)^DCF!$D$15:$H$15)+DCF!$H$17*(1+D$6)/($B13-D$6)/(1+$B13)^DCF!$H$15+DCF!$C$43)/DCF!$C$45</f>
        <v>351.58506584433</v>
      </c>
      <c r="E13" s="81" t="n">
        <f aca="false">(SUMPRODUCT(DCF!$D$18:$H$18/(1+$B13)^DCF!$D$15:$H$15)+DCF!$H$17*(1+E$6)/($B13-E$6)/(1+$B13)^DCF!$H$15+DCF!$C$43)/DCF!$C$45</f>
        <v>365.355042755531</v>
      </c>
      <c r="F13" s="81" t="n">
        <f aca="false">(SUMPRODUCT(DCF!$D$18:$H$18/(1+$B13)^DCF!$D$15:$H$15)+DCF!$H$17*(1+F$6)/($B13-F$6)/(1+$B13)^DCF!$H$15+DCF!$C$43)/DCF!$C$45</f>
        <v>380.368270804675</v>
      </c>
      <c r="G13" s="81" t="n">
        <f aca="false">(SUMPRODUCT(DCF!$D$18:$H$18/(1+$B13)^DCF!$D$15:$H$15)+DCF!$H$17*(1+G$6)/($B13-G$6)/(1+$B13)^DCF!$H$15+DCF!$C$43)/DCF!$C$45</f>
        <v>396.801084653623</v>
      </c>
      <c r="H13" s="81" t="n">
        <f aca="false">(SUMPRODUCT(DCF!$D$18:$H$18/(1+$B13)^DCF!$D$15:$H$15)+DCF!$H$17*(1+H$6)/($B13-H$6)/(1+$B13)^DCF!$H$15+DCF!$C$43)/DCF!$C$45</f>
        <v>414.86482065151</v>
      </c>
      <c r="I13" s="81" t="n">
        <f aca="false">(SUMPRODUCT(DCF!$D$18:$H$18/(1+$B13)^DCF!$D$15:$H$15)+DCF!$H$17*(1+I$6)/($B13-I$6)/(1+$B13)^DCF!$H$15+DCF!$C$43)/DCF!$C$45</f>
        <v>434.814954911443</v>
      </c>
      <c r="J13" s="81" t="n">
        <f aca="false">(SUMPRODUCT(DCF!$D$18:$H$18/(1+$B13)^DCF!$D$15:$H$15)+DCF!$H$17*(1+J$6)/($B13-J$6)/(1+$B13)^DCF!$H$15+DCF!$C$43)/DCF!$C$45</f>
        <v>456.963261979166</v>
      </c>
      <c r="K13" s="81" t="n">
        <f aca="false">(SUMPRODUCT(DCF!$D$18:$H$18/(1+$B13)^DCF!$D$15:$H$15)+DCF!$H$17*(1+K$6)/($B13-K$6)/(1+$B13)^DCF!$H$15+DCF!$C$43)/DCF!$C$45</f>
        <v>481.694226876134</v>
      </c>
    </row>
    <row r="14" customFormat="false" ht="15" hidden="false" customHeight="false" outlineLevel="0" collapsed="false">
      <c r="B14" s="80" t="n">
        <f aca="false">WACC!$C$37+(7-4)*Assumptions!$D$14</f>
        <v>0.0703789033083017</v>
      </c>
      <c r="C14" s="81" t="n">
        <f aca="false">(SUMPRODUCT(DCF!$D$18:$H$18/(1+$B14)^DCF!$D$15:$H$15)+DCF!$H$17*(1+C$6)/($B14-C$6)/(1+$B14)^DCF!$H$15+DCF!$C$43)/DCF!$C$45</f>
        <v>325.021534135192</v>
      </c>
      <c r="D14" s="81" t="n">
        <f aca="false">(SUMPRODUCT(DCF!$D$18:$H$18/(1+$B14)^DCF!$D$15:$H$15)+DCF!$H$17*(1+D$6)/($B14-D$6)/(1+$B14)^DCF!$H$15+DCF!$C$43)/DCF!$C$45</f>
        <v>336.650026906858</v>
      </c>
      <c r="E14" s="81" t="n">
        <f aca="false">(SUMPRODUCT(DCF!$D$18:$H$18/(1+$B14)^DCF!$D$15:$H$15)+DCF!$H$17*(1+E$6)/($B14-E$6)/(1+$B14)^DCF!$H$15+DCF!$C$43)/DCF!$C$45</f>
        <v>349.241479597844</v>
      </c>
      <c r="F14" s="81" t="n">
        <f aca="false">(SUMPRODUCT(DCF!$D$18:$H$18/(1+$B14)^DCF!$D$15:$H$15)+DCF!$H$17*(1+F$6)/($B14-F$6)/(1+$B14)^DCF!$H$15+DCF!$C$43)/DCF!$C$45</f>
        <v>362.920673414807</v>
      </c>
      <c r="G14" s="81" t="n">
        <f aca="false">(SUMPRODUCT(DCF!$D$18:$H$18/(1+$B14)^DCF!$D$15:$H$15)+DCF!$H$17*(1+G$6)/($B14-G$6)/(1+$B14)^DCF!$H$15+DCF!$C$43)/DCF!$C$45</f>
        <v>377.834921828356</v>
      </c>
      <c r="H14" s="81" t="n">
        <f aca="false">(SUMPRODUCT(DCF!$D$18:$H$18/(1+$B14)^DCF!$D$15:$H$15)+DCF!$H$17*(1+H$6)/($B14-H$6)/(1+$B14)^DCF!$H$15+DCF!$C$43)/DCF!$C$45</f>
        <v>394.159396956195</v>
      </c>
      <c r="I14" s="81" t="n">
        <f aca="false">(SUMPRODUCT(DCF!$D$18:$H$18/(1+$B14)^DCF!$D$15:$H$15)+DCF!$H$17*(1+I$6)/($B14-I$6)/(1+$B14)^DCF!$H$15+DCF!$C$43)/DCF!$C$45</f>
        <v>412.104041843183</v>
      </c>
      <c r="J14" s="81" t="n">
        <f aca="false">(SUMPRODUCT(DCF!$D$18:$H$18/(1+$B14)^DCF!$D$15:$H$15)+DCF!$H$17*(1+J$6)/($B14-J$6)/(1+$B14)^DCF!$H$15+DCF!$C$43)/DCF!$C$45</f>
        <v>431.922648292265</v>
      </c>
      <c r="K14" s="81" t="n">
        <f aca="false">(SUMPRODUCT(DCF!$D$18:$H$18/(1+$B14)^DCF!$D$15:$H$15)+DCF!$H$17*(1+K$6)/($B14-K$6)/(1+$B14)^DCF!$H$15+DCF!$C$43)/DCF!$C$45</f>
        <v>453.924935373119</v>
      </c>
    </row>
    <row r="15" customFormat="false" ht="15" hidden="false" customHeight="false" outlineLevel="0" collapsed="false">
      <c r="B15" s="80" t="n">
        <f aca="false">WACC!$C$37+(8-4)*Assumptions!$D$14</f>
        <v>0.0728789033083017</v>
      </c>
      <c r="C15" s="81" t="n">
        <f aca="false">(SUMPRODUCT(DCF!$D$18:$H$18/(1+$B15)^DCF!$D$15:$H$15)+DCF!$H$17*(1+C$6)/($B15-C$6)/(1+$B15)^DCF!$H$15+DCF!$C$43)/DCF!$C$45</f>
        <v>312.156667001347</v>
      </c>
      <c r="D15" s="81" t="n">
        <f aca="false">(SUMPRODUCT(DCF!$D$18:$H$18/(1+$B15)^DCF!$D$15:$H$15)+DCF!$H$17*(1+D$6)/($B15-D$6)/(1+$B15)^DCF!$H$15+DCF!$C$43)/DCF!$C$45</f>
        <v>322.85774578348</v>
      </c>
      <c r="E15" s="81" t="n">
        <f aca="false">(SUMPRODUCT(DCF!$D$18:$H$18/(1+$B15)^DCF!$D$15:$H$15)+DCF!$H$17*(1+E$6)/($B15-E$6)/(1+$B15)^DCF!$H$15+DCF!$C$43)/DCF!$C$45</f>
        <v>334.409752159696</v>
      </c>
      <c r="F15" s="81" t="n">
        <f aca="false">(SUMPRODUCT(DCF!$D$18:$H$18/(1+$B15)^DCF!$D$15:$H$15)+DCF!$H$17*(1+F$6)/($B15-F$6)/(1+$B15)^DCF!$H$15+DCF!$C$43)/DCF!$C$45</f>
        <v>346.918384587666</v>
      </c>
      <c r="G15" s="81" t="n">
        <f aca="false">(SUMPRODUCT(DCF!$D$18:$H$18/(1+$B15)^DCF!$D$15:$H$15)+DCF!$H$17*(1+G$6)/($B15-G$6)/(1+$B15)^DCF!$H$15+DCF!$C$43)/DCF!$C$45</f>
        <v>360.507603525831</v>
      </c>
      <c r="H15" s="81" t="n">
        <f aca="false">(SUMPRODUCT(DCF!$D$18:$H$18/(1+$B15)^DCF!$D$15:$H$15)+DCF!$H$17*(1+H$6)/($B15-H$6)/(1+$B15)^DCF!$H$15+DCF!$C$43)/DCF!$C$45</f>
        <v>375.323753490647</v>
      </c>
      <c r="I15" s="81" t="n">
        <f aca="false">(SUMPRODUCT(DCF!$D$18:$H$18/(1+$B15)^DCF!$D$15:$H$15)+DCF!$H$17*(1+I$6)/($B15-I$6)/(1+$B15)^DCF!$H$15+DCF!$C$43)/DCF!$C$45</f>
        <v>391.540854405451</v>
      </c>
      <c r="J15" s="81" t="n">
        <f aca="false">(SUMPRODUCT(DCF!$D$18:$H$18/(1+$B15)^DCF!$D$15:$H$15)+DCF!$H$17*(1+J$6)/($B15-J$6)/(1+$B15)^DCF!$H$15+DCF!$C$43)/DCF!$C$45</f>
        <v>409.367468415007</v>
      </c>
      <c r="K15" s="81" t="n">
        <f aca="false">(SUMPRODUCT(DCF!$D$18:$H$18/(1+$B15)^DCF!$D$15:$H$15)+DCF!$H$17*(1+K$6)/($B15-K$6)/(1+$B15)^DCF!$H$15+DCF!$C$43)/DCF!$C$45</f>
        <v>429.055718007022</v>
      </c>
    </row>
    <row r="17" customFormat="false" ht="15" hidden="false" customHeight="false" outlineLevel="0" collapsed="false">
      <c r="B17" s="29" t="s">
        <v>377</v>
      </c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customFormat="false" ht="15" hidden="false" customHeight="false" outlineLevel="0" collapsed="false">
      <c r="C18" s="79" t="s">
        <v>378</v>
      </c>
    </row>
    <row r="19" customFormat="false" ht="15" hidden="false" customHeight="false" outlineLevel="0" collapsed="false">
      <c r="B19" s="79" t="s">
        <v>376</v>
      </c>
      <c r="C19" s="83" t="n">
        <f aca="false">Assumptions!$G$49+(0-4)*Assumptions!$D$16</f>
        <v>10</v>
      </c>
      <c r="D19" s="83" t="n">
        <f aca="false">Assumptions!$G$49+(1-4)*Assumptions!$D$16</f>
        <v>10.5</v>
      </c>
      <c r="E19" s="83" t="n">
        <f aca="false">Assumptions!$G$49+(2-4)*Assumptions!$D$16</f>
        <v>11</v>
      </c>
      <c r="F19" s="83" t="n">
        <f aca="false">Assumptions!$G$49+(3-4)*Assumptions!$D$16</f>
        <v>11.5</v>
      </c>
      <c r="G19" s="83" t="n">
        <f aca="false">Assumptions!$G$49+(4-4)*Assumptions!$D$16</f>
        <v>12</v>
      </c>
      <c r="H19" s="83" t="n">
        <f aca="false">Assumptions!$G$49+(5-4)*Assumptions!$D$16</f>
        <v>12.5</v>
      </c>
      <c r="I19" s="83" t="n">
        <f aca="false">Assumptions!$G$49+(6-4)*Assumptions!$D$16</f>
        <v>13</v>
      </c>
      <c r="J19" s="83" t="n">
        <f aca="false">Assumptions!$G$49+(7-4)*Assumptions!$D$16</f>
        <v>13.5</v>
      </c>
      <c r="K19" s="83" t="n">
        <f aca="false">Assumptions!$G$49+(8-4)*Assumptions!$D$16</f>
        <v>14</v>
      </c>
    </row>
    <row r="20" customFormat="false" ht="15" hidden="false" customHeight="false" outlineLevel="0" collapsed="false">
      <c r="B20" s="80" t="n">
        <f aca="false">WACC!$C$37+(0-4)*Assumptions!$D$14</f>
        <v>0.0528789033083017</v>
      </c>
      <c r="C20" s="81" t="n">
        <f aca="false">(SUMPRODUCT(DCF!$D$18:$H$18/(1+$B20)^DCF!$D$15:$H$15)+DCF!$H$16*C$19/(1+$B20)^DCF!$D$27+DCF!$C$43)/DCF!$C$45</f>
        <v>357.988618616879</v>
      </c>
      <c r="D20" s="81" t="n">
        <f aca="false">(SUMPRODUCT(DCF!$D$18:$H$18/(1+$B20)^DCF!$D$15:$H$15)+DCF!$H$16*D$19/(1+$B20)^DCF!$D$27+DCF!$C$43)/DCF!$C$45</f>
        <v>373.222741290859</v>
      </c>
      <c r="E20" s="81" t="n">
        <f aca="false">(SUMPRODUCT(DCF!$D$18:$H$18/(1+$B20)^DCF!$D$15:$H$15)+DCF!$H$16*E$19/(1+$B20)^DCF!$D$27+DCF!$C$43)/DCF!$C$45</f>
        <v>388.456863964839</v>
      </c>
      <c r="F20" s="81" t="n">
        <f aca="false">(SUMPRODUCT(DCF!$D$18:$H$18/(1+$B20)^DCF!$D$15:$H$15)+DCF!$H$16*F$19/(1+$B20)^DCF!$D$27+DCF!$C$43)/DCF!$C$45</f>
        <v>403.690986638819</v>
      </c>
      <c r="G20" s="81" t="n">
        <f aca="false">(SUMPRODUCT(DCF!$D$18:$H$18/(1+$B20)^DCF!$D$15:$H$15)+DCF!$H$16*G$19/(1+$B20)^DCF!$D$27+DCF!$C$43)/DCF!$C$45</f>
        <v>418.925109312798</v>
      </c>
      <c r="H20" s="81" t="n">
        <f aca="false">(SUMPRODUCT(DCF!$D$18:$H$18/(1+$B20)^DCF!$D$15:$H$15)+DCF!$H$16*H$19/(1+$B20)^DCF!$D$27+DCF!$C$43)/DCF!$C$45</f>
        <v>434.159231986778</v>
      </c>
      <c r="I20" s="81" t="n">
        <f aca="false">(SUMPRODUCT(DCF!$D$18:$H$18/(1+$B20)^DCF!$D$15:$H$15)+DCF!$H$16*I$19/(1+$B20)^DCF!$D$27+DCF!$C$43)/DCF!$C$45</f>
        <v>449.393354660758</v>
      </c>
      <c r="J20" s="81" t="n">
        <f aca="false">(SUMPRODUCT(DCF!$D$18:$H$18/(1+$B20)^DCF!$D$15:$H$15)+DCF!$H$16*J$19/(1+$B20)^DCF!$D$27+DCF!$C$43)/DCF!$C$45</f>
        <v>464.627477334739</v>
      </c>
      <c r="K20" s="81" t="n">
        <f aca="false">(SUMPRODUCT(DCF!$D$18:$H$18/(1+$B20)^DCF!$D$15:$H$15)+DCF!$H$16*K$19/(1+$B20)^DCF!$D$27+DCF!$C$43)/DCF!$C$45</f>
        <v>479.861600008718</v>
      </c>
    </row>
    <row r="21" customFormat="false" ht="15" hidden="false" customHeight="false" outlineLevel="0" collapsed="false">
      <c r="B21" s="80" t="n">
        <f aca="false">WACC!$C$37+(1-4)*Assumptions!$D$14</f>
        <v>0.0553789033083017</v>
      </c>
      <c r="C21" s="81" t="n">
        <f aca="false">(SUMPRODUCT(DCF!$D$18:$H$18/(1+$B21)^DCF!$D$15:$H$15)+DCF!$H$16*C$19/(1+$B21)^DCF!$D$27+DCF!$C$43)/DCF!$C$45</f>
        <v>354.451794930492</v>
      </c>
      <c r="D21" s="81" t="n">
        <f aca="false">(SUMPRODUCT(DCF!$D$18:$H$18/(1+$B21)^DCF!$D$15:$H$15)+DCF!$H$16*D$19/(1+$B21)^DCF!$D$27+DCF!$C$43)/DCF!$C$45</f>
        <v>369.530320759418</v>
      </c>
      <c r="E21" s="81" t="n">
        <f aca="false">(SUMPRODUCT(DCF!$D$18:$H$18/(1+$B21)^DCF!$D$15:$H$15)+DCF!$H$16*E$19/(1+$B21)^DCF!$D$27+DCF!$C$43)/DCF!$C$45</f>
        <v>384.608846588344</v>
      </c>
      <c r="F21" s="81" t="n">
        <f aca="false">(SUMPRODUCT(DCF!$D$18:$H$18/(1+$B21)^DCF!$D$15:$H$15)+DCF!$H$16*F$19/(1+$B21)^DCF!$D$27+DCF!$C$43)/DCF!$C$45</f>
        <v>399.687372417271</v>
      </c>
      <c r="G21" s="81" t="n">
        <f aca="false">(SUMPRODUCT(DCF!$D$18:$H$18/(1+$B21)^DCF!$D$15:$H$15)+DCF!$H$16*G$19/(1+$B21)^DCF!$D$27+DCF!$C$43)/DCF!$C$45</f>
        <v>414.765898246197</v>
      </c>
      <c r="H21" s="81" t="n">
        <f aca="false">(SUMPRODUCT(DCF!$D$18:$H$18/(1+$B21)^DCF!$D$15:$H$15)+DCF!$H$16*H$19/(1+$B21)^DCF!$D$27+DCF!$C$43)/DCF!$C$45</f>
        <v>429.844424075123</v>
      </c>
      <c r="I21" s="81" t="n">
        <f aca="false">(SUMPRODUCT(DCF!$D$18:$H$18/(1+$B21)^DCF!$D$15:$H$15)+DCF!$H$16*I$19/(1+$B21)^DCF!$D$27+DCF!$C$43)/DCF!$C$45</f>
        <v>444.922949904049</v>
      </c>
      <c r="J21" s="81" t="n">
        <f aca="false">(SUMPRODUCT(DCF!$D$18:$H$18/(1+$B21)^DCF!$D$15:$H$15)+DCF!$H$16*J$19/(1+$B21)^DCF!$D$27+DCF!$C$43)/DCF!$C$45</f>
        <v>460.001475732975</v>
      </c>
      <c r="K21" s="81" t="n">
        <f aca="false">(SUMPRODUCT(DCF!$D$18:$H$18/(1+$B21)^DCF!$D$15:$H$15)+DCF!$H$16*K$19/(1+$B21)^DCF!$D$27+DCF!$C$43)/DCF!$C$45</f>
        <v>475.080001561902</v>
      </c>
    </row>
    <row r="22" customFormat="false" ht="15" hidden="false" customHeight="false" outlineLevel="0" collapsed="false">
      <c r="B22" s="80" t="n">
        <f aca="false">WACC!$C$37+(2-4)*Assumptions!$D$14</f>
        <v>0.0578789033083017</v>
      </c>
      <c r="C22" s="81" t="n">
        <f aca="false">(SUMPRODUCT(DCF!$D$18:$H$18/(1+$B22)^DCF!$D$15:$H$15)+DCF!$H$16*C$19/(1+$B22)^DCF!$D$27+DCF!$C$43)/DCF!$C$45</f>
        <v>350.957854720691</v>
      </c>
      <c r="D22" s="81" t="n">
        <f aca="false">(SUMPRODUCT(DCF!$D$18:$H$18/(1+$B22)^DCF!$D$15:$H$15)+DCF!$H$16*D$19/(1+$B22)^DCF!$D$27+DCF!$C$43)/DCF!$C$45</f>
        <v>365.882735446831</v>
      </c>
      <c r="E22" s="81" t="n">
        <f aca="false">(SUMPRODUCT(DCF!$D$18:$H$18/(1+$B22)^DCF!$D$15:$H$15)+DCF!$H$16*E$19/(1+$B22)^DCF!$D$27+DCF!$C$43)/DCF!$C$45</f>
        <v>380.807616172972</v>
      </c>
      <c r="F22" s="81" t="n">
        <f aca="false">(SUMPRODUCT(DCF!$D$18:$H$18/(1+$B22)^DCF!$D$15:$H$15)+DCF!$H$16*F$19/(1+$B22)^DCF!$D$27+DCF!$C$43)/DCF!$C$45</f>
        <v>395.732496899112</v>
      </c>
      <c r="G22" s="81" t="n">
        <f aca="false">(SUMPRODUCT(DCF!$D$18:$H$18/(1+$B22)^DCF!$D$15:$H$15)+DCF!$H$16*G$19/(1+$B22)^DCF!$D$27+DCF!$C$43)/DCF!$C$45</f>
        <v>410.657377625253</v>
      </c>
      <c r="H22" s="81" t="n">
        <f aca="false">(SUMPRODUCT(DCF!$D$18:$H$18/(1+$B22)^DCF!$D$15:$H$15)+DCF!$H$16*H$19/(1+$B22)^DCF!$D$27+DCF!$C$43)/DCF!$C$45</f>
        <v>425.582258351393</v>
      </c>
      <c r="I22" s="81" t="n">
        <f aca="false">(SUMPRODUCT(DCF!$D$18:$H$18/(1+$B22)^DCF!$D$15:$H$15)+DCF!$H$16*I$19/(1+$B22)^DCF!$D$27+DCF!$C$43)/DCF!$C$45</f>
        <v>440.507139077533</v>
      </c>
      <c r="J22" s="81" t="n">
        <f aca="false">(SUMPRODUCT(DCF!$D$18:$H$18/(1+$B22)^DCF!$D$15:$H$15)+DCF!$H$16*J$19/(1+$B22)^DCF!$D$27+DCF!$C$43)/DCF!$C$45</f>
        <v>455.432019803674</v>
      </c>
      <c r="K22" s="81" t="n">
        <f aca="false">(SUMPRODUCT(DCF!$D$18:$H$18/(1+$B22)^DCF!$D$15:$H$15)+DCF!$H$16*K$19/(1+$B22)^DCF!$D$27+DCF!$C$43)/DCF!$C$45</f>
        <v>470.356900529814</v>
      </c>
    </row>
    <row r="23" customFormat="false" ht="15" hidden="false" customHeight="false" outlineLevel="0" collapsed="false">
      <c r="B23" s="80" t="n">
        <f aca="false">WACC!$C$37+(3-4)*Assumptions!$D$14</f>
        <v>0.0603789033083017</v>
      </c>
      <c r="C23" s="81" t="n">
        <f aca="false">(SUMPRODUCT(DCF!$D$18:$H$18/(1+$B23)^DCF!$D$15:$H$15)+DCF!$H$16*C$19/(1+$B23)^DCF!$D$27+DCF!$C$43)/DCF!$C$45</f>
        <v>347.506171663217</v>
      </c>
      <c r="D23" s="81" t="n">
        <f aca="false">(SUMPRODUCT(DCF!$D$18:$H$18/(1+$B23)^DCF!$D$15:$H$15)+DCF!$H$16*D$19/(1+$B23)^DCF!$D$27+DCF!$C$43)/DCF!$C$45</f>
        <v>362.279330021042</v>
      </c>
      <c r="E23" s="81" t="n">
        <f aca="false">(SUMPRODUCT(DCF!$D$18:$H$18/(1+$B23)^DCF!$D$15:$H$15)+DCF!$H$16*E$19/(1+$B23)^DCF!$D$27+DCF!$C$43)/DCF!$C$45</f>
        <v>377.052488378867</v>
      </c>
      <c r="F23" s="81" t="n">
        <f aca="false">(SUMPRODUCT(DCF!$D$18:$H$18/(1+$B23)^DCF!$D$15:$H$15)+DCF!$H$16*F$19/(1+$B23)^DCF!$D$27+DCF!$C$43)/DCF!$C$45</f>
        <v>391.825646736693</v>
      </c>
      <c r="G23" s="81" t="n">
        <f aca="false">(SUMPRODUCT(DCF!$D$18:$H$18/(1+$B23)^DCF!$D$15:$H$15)+DCF!$H$16*G$19/(1+$B23)^DCF!$D$27+DCF!$C$43)/DCF!$C$45</f>
        <v>406.598805094518</v>
      </c>
      <c r="H23" s="81" t="n">
        <f aca="false">(SUMPRODUCT(DCF!$D$18:$H$18/(1+$B23)^DCF!$D$15:$H$15)+DCF!$H$16*H$19/(1+$B23)^DCF!$D$27+DCF!$C$43)/DCF!$C$45</f>
        <v>421.371963452343</v>
      </c>
      <c r="I23" s="81" t="n">
        <f aca="false">(SUMPRODUCT(DCF!$D$18:$H$18/(1+$B23)^DCF!$D$15:$H$15)+DCF!$H$16*I$19/(1+$B23)^DCF!$D$27+DCF!$C$43)/DCF!$C$45</f>
        <v>436.145121810168</v>
      </c>
      <c r="J23" s="81" t="n">
        <f aca="false">(SUMPRODUCT(DCF!$D$18:$H$18/(1+$B23)^DCF!$D$15:$H$15)+DCF!$H$16*J$19/(1+$B23)^DCF!$D$27+DCF!$C$43)/DCF!$C$45</f>
        <v>450.918280167993</v>
      </c>
      <c r="K23" s="81" t="n">
        <f aca="false">(SUMPRODUCT(DCF!$D$18:$H$18/(1+$B23)^DCF!$D$15:$H$15)+DCF!$H$16*K$19/(1+$B23)^DCF!$D$27+DCF!$C$43)/DCF!$C$45</f>
        <v>465.691438525818</v>
      </c>
    </row>
    <row r="24" customFormat="false" ht="15" hidden="false" customHeight="false" outlineLevel="0" collapsed="false">
      <c r="B24" s="80" t="n">
        <f aca="false">WACC!$C$37+(4-4)*Assumptions!$D$14</f>
        <v>0.0628789033083017</v>
      </c>
      <c r="C24" s="81" t="n">
        <f aca="false">(SUMPRODUCT(DCF!$D$18:$H$18/(1+$B24)^DCF!$D$15:$H$15)+DCF!$H$16*C$19/(1+$B24)^DCF!$D$27+DCF!$C$43)/DCF!$C$45</f>
        <v>344.096130072287</v>
      </c>
      <c r="D24" s="81" t="n">
        <f aca="false">(SUMPRODUCT(DCF!$D$18:$H$18/(1+$B24)^DCF!$D$15:$H$15)+DCF!$H$16*D$19/(1+$B24)^DCF!$D$27+DCF!$C$43)/DCF!$C$45</f>
        <v>358.71946028655</v>
      </c>
      <c r="E24" s="81" t="n">
        <f aca="false">(SUMPRODUCT(DCF!$D$18:$H$18/(1+$B24)^DCF!$D$15:$H$15)+DCF!$H$16*E$19/(1+$B24)^DCF!$D$27+DCF!$C$43)/DCF!$C$45</f>
        <v>373.342790500813</v>
      </c>
      <c r="F24" s="81" t="n">
        <f aca="false">(SUMPRODUCT(DCF!$D$18:$H$18/(1+$B24)^DCF!$D$15:$H$15)+DCF!$H$16*F$19/(1+$B24)^DCF!$D$27+DCF!$C$43)/DCF!$C$45</f>
        <v>387.966120715076</v>
      </c>
      <c r="G24" s="82" t="n">
        <f aca="false">(SUMPRODUCT(DCF!$D$18:$H$18/(1+$B24)^DCF!$D$15:$H$15)+DCF!$H$16*G$19/(1+$B24)^DCF!$D$27+DCF!$C$43)/DCF!$C$45</f>
        <v>402.589450929339</v>
      </c>
      <c r="H24" s="81" t="n">
        <f aca="false">(SUMPRODUCT(DCF!$D$18:$H$18/(1+$B24)^DCF!$D$15:$H$15)+DCF!$H$16*H$19/(1+$B24)^DCF!$D$27+DCF!$C$43)/DCF!$C$45</f>
        <v>417.212781143602</v>
      </c>
      <c r="I24" s="81" t="n">
        <f aca="false">(SUMPRODUCT(DCF!$D$18:$H$18/(1+$B24)^DCF!$D$15:$H$15)+DCF!$H$16*I$19/(1+$B24)^DCF!$D$27+DCF!$C$43)/DCF!$C$45</f>
        <v>431.836111357865</v>
      </c>
      <c r="J24" s="81" t="n">
        <f aca="false">(SUMPRODUCT(DCF!$D$18:$H$18/(1+$B24)^DCF!$D$15:$H$15)+DCF!$H$16*J$19/(1+$B24)^DCF!$D$27+DCF!$C$43)/DCF!$C$45</f>
        <v>446.459441572128</v>
      </c>
      <c r="K24" s="81" t="n">
        <f aca="false">(SUMPRODUCT(DCF!$D$18:$H$18/(1+$B24)^DCF!$D$15:$H$15)+DCF!$H$16*K$19/(1+$B24)^DCF!$D$27+DCF!$C$43)/DCF!$C$45</f>
        <v>461.082771786391</v>
      </c>
    </row>
    <row r="25" customFormat="false" ht="15" hidden="false" customHeight="false" outlineLevel="0" collapsed="false">
      <c r="B25" s="80" t="n">
        <f aca="false">WACC!$C$37+(5-4)*Assumptions!$D$14</f>
        <v>0.0653789033083017</v>
      </c>
      <c r="C25" s="81" t="n">
        <f aca="false">(SUMPRODUCT(DCF!$D$18:$H$18/(1+$B25)^DCF!$D$15:$H$15)+DCF!$H$16*C$19/(1+$B25)^DCF!$D$27+DCF!$C$43)/DCF!$C$45</f>
        <v>340.727124695021</v>
      </c>
      <c r="D25" s="81" t="n">
        <f aca="false">(SUMPRODUCT(DCF!$D$18:$H$18/(1+$B25)^DCF!$D$15:$H$15)+DCF!$H$16*D$19/(1+$B25)^DCF!$D$27+DCF!$C$43)/DCF!$C$45</f>
        <v>355.202492969142</v>
      </c>
      <c r="E25" s="81" t="n">
        <f aca="false">(SUMPRODUCT(DCF!$D$18:$H$18/(1+$B25)^DCF!$D$15:$H$15)+DCF!$H$16*E$19/(1+$B25)^DCF!$D$27+DCF!$C$43)/DCF!$C$45</f>
        <v>369.677861243262</v>
      </c>
      <c r="F25" s="81" t="n">
        <f aca="false">(SUMPRODUCT(DCF!$D$18:$H$18/(1+$B25)^DCF!$D$15:$H$15)+DCF!$H$16*F$19/(1+$B25)^DCF!$D$27+DCF!$C$43)/DCF!$C$45</f>
        <v>384.153229517383</v>
      </c>
      <c r="G25" s="81" t="n">
        <f aca="false">(SUMPRODUCT(DCF!$D$18:$H$18/(1+$B25)^DCF!$D$15:$H$15)+DCF!$H$16*G$19/(1+$B25)^DCF!$D$27+DCF!$C$43)/DCF!$C$45</f>
        <v>398.628597791504</v>
      </c>
      <c r="H25" s="81" t="n">
        <f aca="false">(SUMPRODUCT(DCF!$D$18:$H$18/(1+$B25)^DCF!$D$15:$H$15)+DCF!$H$16*H$19/(1+$B25)^DCF!$D$27+DCF!$C$43)/DCF!$C$45</f>
        <v>413.103966065625</v>
      </c>
      <c r="I25" s="81" t="n">
        <f aca="false">(SUMPRODUCT(DCF!$D$18:$H$18/(1+$B25)^DCF!$D$15:$H$15)+DCF!$H$16*I$19/(1+$B25)^DCF!$D$27+DCF!$C$43)/DCF!$C$45</f>
        <v>427.579334339745</v>
      </c>
      <c r="J25" s="81" t="n">
        <f aca="false">(SUMPRODUCT(DCF!$D$18:$H$18/(1+$B25)^DCF!$D$15:$H$15)+DCF!$H$16*J$19/(1+$B25)^DCF!$D$27+DCF!$C$43)/DCF!$C$45</f>
        <v>442.054702613866</v>
      </c>
      <c r="K25" s="81" t="n">
        <f aca="false">(SUMPRODUCT(DCF!$D$18:$H$18/(1+$B25)^DCF!$D$15:$H$15)+DCF!$H$16*K$19/(1+$B25)^DCF!$D$27+DCF!$C$43)/DCF!$C$45</f>
        <v>456.530070887987</v>
      </c>
    </row>
    <row r="26" customFormat="false" ht="15" hidden="false" customHeight="false" outlineLevel="0" collapsed="false">
      <c r="B26" s="80" t="n">
        <f aca="false">WACC!$C$37+(6-4)*Assumptions!$D$14</f>
        <v>0.0678789033083017</v>
      </c>
      <c r="C26" s="81" t="n">
        <f aca="false">(SUMPRODUCT(DCF!$D$18:$H$18/(1+$B26)^DCF!$D$15:$H$15)+DCF!$H$16*C$19/(1+$B26)^DCF!$D$27+DCF!$C$43)/DCF!$C$45</f>
        <v>337.398560510325</v>
      </c>
      <c r="D26" s="81" t="n">
        <f aca="false">(SUMPRODUCT(DCF!$D$18:$H$18/(1+$B26)^DCF!$D$15:$H$15)+DCF!$H$16*D$19/(1+$B26)^DCF!$D$27+DCF!$C$43)/DCF!$C$45</f>
        <v>351.727805505288</v>
      </c>
      <c r="E26" s="81" t="n">
        <f aca="false">(SUMPRODUCT(DCF!$D$18:$H$18/(1+$B26)^DCF!$D$15:$H$15)+DCF!$H$16*E$19/(1+$B26)^DCF!$D$27+DCF!$C$43)/DCF!$C$45</f>
        <v>366.057050500251</v>
      </c>
      <c r="F26" s="81" t="n">
        <f aca="false">(SUMPRODUCT(DCF!$D$18:$H$18/(1+$B26)^DCF!$D$15:$H$15)+DCF!$H$16*F$19/(1+$B26)^DCF!$D$27+DCF!$C$43)/DCF!$C$45</f>
        <v>380.386295495215</v>
      </c>
      <c r="G26" s="81" t="n">
        <f aca="false">(SUMPRODUCT(DCF!$D$18:$H$18/(1+$B26)^DCF!$D$15:$H$15)+DCF!$H$16*G$19/(1+$B26)^DCF!$D$27+DCF!$C$43)/DCF!$C$45</f>
        <v>394.715540490178</v>
      </c>
      <c r="H26" s="81" t="n">
        <f aca="false">(SUMPRODUCT(DCF!$D$18:$H$18/(1+$B26)^DCF!$D$15:$H$15)+DCF!$H$16*H$19/(1+$B26)^DCF!$D$27+DCF!$C$43)/DCF!$C$45</f>
        <v>409.044785485141</v>
      </c>
      <c r="I26" s="81" t="n">
        <f aca="false">(SUMPRODUCT(DCF!$D$18:$H$18/(1+$B26)^DCF!$D$15:$H$15)+DCF!$H$16*I$19/(1+$B26)^DCF!$D$27+DCF!$C$43)/DCF!$C$45</f>
        <v>423.374030480105</v>
      </c>
      <c r="J26" s="81" t="n">
        <f aca="false">(SUMPRODUCT(DCF!$D$18:$H$18/(1+$B26)^DCF!$D$15:$H$15)+DCF!$H$16*J$19/(1+$B26)^DCF!$D$27+DCF!$C$43)/DCF!$C$45</f>
        <v>437.703275475068</v>
      </c>
      <c r="K26" s="81" t="n">
        <f aca="false">(SUMPRODUCT(DCF!$D$18:$H$18/(1+$B26)^DCF!$D$15:$H$15)+DCF!$H$16*K$19/(1+$B26)^DCF!$D$27+DCF!$C$43)/DCF!$C$45</f>
        <v>452.032520470031</v>
      </c>
    </row>
    <row r="27" customFormat="false" ht="15" hidden="false" customHeight="false" outlineLevel="0" collapsed="false">
      <c r="B27" s="80" t="n">
        <f aca="false">WACC!$C$37+(7-4)*Assumptions!$D$14</f>
        <v>0.0703789033083017</v>
      </c>
      <c r="C27" s="81" t="n">
        <f aca="false">(SUMPRODUCT(DCF!$D$18:$H$18/(1+$B27)^DCF!$D$15:$H$15)+DCF!$H$16*C$19/(1+$B27)^DCF!$D$27+DCF!$C$43)/DCF!$C$45</f>
        <v>334.109852532111</v>
      </c>
      <c r="D27" s="81" t="n">
        <f aca="false">(SUMPRODUCT(DCF!$D$18:$H$18/(1+$B27)^DCF!$D$15:$H$15)+DCF!$H$16*D$19/(1+$B27)^DCF!$D$27+DCF!$C$43)/DCF!$C$45</f>
        <v>348.294785836085</v>
      </c>
      <c r="E27" s="81" t="n">
        <f aca="false">(SUMPRODUCT(DCF!$D$18:$H$18/(1+$B27)^DCF!$D$15:$H$15)+DCF!$H$16*E$19/(1+$B27)^DCF!$D$27+DCF!$C$43)/DCF!$C$45</f>
        <v>362.479719140059</v>
      </c>
      <c r="F27" s="81" t="n">
        <f aca="false">(SUMPRODUCT(DCF!$D$18:$H$18/(1+$B27)^DCF!$D$15:$H$15)+DCF!$H$16*F$19/(1+$B27)^DCF!$D$27+DCF!$C$43)/DCF!$C$45</f>
        <v>376.664652444033</v>
      </c>
      <c r="G27" s="81" t="n">
        <f aca="false">(SUMPRODUCT(DCF!$D$18:$H$18/(1+$B27)^DCF!$D$15:$H$15)+DCF!$H$16*G$19/(1+$B27)^DCF!$D$27+DCF!$C$43)/DCF!$C$45</f>
        <v>390.849585748007</v>
      </c>
      <c r="H27" s="81" t="n">
        <f aca="false">(SUMPRODUCT(DCF!$D$18:$H$18/(1+$B27)^DCF!$D$15:$H$15)+DCF!$H$16*H$19/(1+$B27)^DCF!$D$27+DCF!$C$43)/DCF!$C$45</f>
        <v>405.034519051982</v>
      </c>
      <c r="I27" s="81" t="n">
        <f aca="false">(SUMPRODUCT(DCF!$D$18:$H$18/(1+$B27)^DCF!$D$15:$H$15)+DCF!$H$16*I$19/(1+$B27)^DCF!$D$27+DCF!$C$43)/DCF!$C$45</f>
        <v>419.219452355956</v>
      </c>
      <c r="J27" s="81" t="n">
        <f aca="false">(SUMPRODUCT(DCF!$D$18:$H$18/(1+$B27)^DCF!$D$15:$H$15)+DCF!$H$16*J$19/(1+$B27)^DCF!$D$27+DCF!$C$43)/DCF!$C$45</f>
        <v>433.40438565993</v>
      </c>
      <c r="K27" s="81" t="n">
        <f aca="false">(SUMPRODUCT(DCF!$D$18:$H$18/(1+$B27)^DCF!$D$15:$H$15)+DCF!$H$16*K$19/(1+$B27)^DCF!$D$27+DCF!$C$43)/DCF!$C$45</f>
        <v>447.589318963904</v>
      </c>
    </row>
    <row r="28" customFormat="false" ht="15" hidden="false" customHeight="false" outlineLevel="0" collapsed="false">
      <c r="B28" s="80" t="n">
        <f aca="false">WACC!$C$37+(8-4)*Assumptions!$D$14</f>
        <v>0.0728789033083017</v>
      </c>
      <c r="C28" s="81" t="n">
        <f aca="false">(SUMPRODUCT(DCF!$D$18:$H$18/(1+$B28)^DCF!$D$15:$H$15)+DCF!$H$16*C$19/(1+$B28)^DCF!$D$27+DCF!$C$43)/DCF!$C$45</f>
        <v>330.860425616752</v>
      </c>
      <c r="D28" s="81" t="n">
        <f aca="false">(SUMPRODUCT(DCF!$D$18:$H$18/(1+$B28)^DCF!$D$15:$H$15)+DCF!$H$16*D$19/(1+$B28)^DCF!$D$27+DCF!$C$43)/DCF!$C$45</f>
        <v>344.902832205628</v>
      </c>
      <c r="E28" s="81" t="n">
        <f aca="false">(SUMPRODUCT(DCF!$D$18:$H$18/(1+$B28)^DCF!$D$15:$H$15)+DCF!$H$16*E$19/(1+$B28)^DCF!$D$27+DCF!$C$43)/DCF!$C$45</f>
        <v>358.945238794505</v>
      </c>
      <c r="F28" s="81" t="n">
        <f aca="false">(SUMPRODUCT(DCF!$D$18:$H$18/(1+$B28)^DCF!$D$15:$H$15)+DCF!$H$16*F$19/(1+$B28)^DCF!$D$27+DCF!$C$43)/DCF!$C$45</f>
        <v>372.987645383382</v>
      </c>
      <c r="G28" s="81" t="n">
        <f aca="false">(SUMPRODUCT(DCF!$D$18:$H$18/(1+$B28)^DCF!$D$15:$H$15)+DCF!$H$16*G$19/(1+$B28)^DCF!$D$27+DCF!$C$43)/DCF!$C$45</f>
        <v>387.030051972259</v>
      </c>
      <c r="H28" s="81" t="n">
        <f aca="false">(SUMPRODUCT(DCF!$D$18:$H$18/(1+$B28)^DCF!$D$15:$H$15)+DCF!$H$16*H$19/(1+$B28)^DCF!$D$27+DCF!$C$43)/DCF!$C$45</f>
        <v>401.072458561136</v>
      </c>
      <c r="I28" s="81" t="n">
        <f aca="false">(SUMPRODUCT(DCF!$D$18:$H$18/(1+$B28)^DCF!$D$15:$H$15)+DCF!$H$16*I$19/(1+$B28)^DCF!$D$27+DCF!$C$43)/DCF!$C$45</f>
        <v>415.114865150012</v>
      </c>
      <c r="J28" s="81" t="n">
        <f aca="false">(SUMPRODUCT(DCF!$D$18:$H$18/(1+$B28)^DCF!$D$15:$H$15)+DCF!$H$16*J$19/(1+$B28)^DCF!$D$27+DCF!$C$43)/DCF!$C$45</f>
        <v>429.157271738889</v>
      </c>
      <c r="K28" s="81" t="n">
        <f aca="false">(SUMPRODUCT(DCF!$D$18:$H$18/(1+$B28)^DCF!$D$15:$H$15)+DCF!$H$16*K$19/(1+$B28)^DCF!$D$27+DCF!$C$43)/DCF!$C$45</f>
        <v>443.199678327766</v>
      </c>
    </row>
    <row r="30" customFormat="false" ht="15" hidden="false" customHeight="false" outlineLevel="0" collapsed="false">
      <c r="B30" s="84" t="str">
        <f aca="false">"Current price: CHF "&amp;TEXT(Assumptions!$D$8,"0.00")&amp;"   |   centre cell = live DCF output (bold box)"</f>
        <v>Current price: CHF 357.00   |   centre cell = live DCF output (bold box)</v>
      </c>
    </row>
  </sheetData>
  <conditionalFormatting sqref="C7:K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0:K2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9A61"/>
    <pageSetUpPr fitToPage="false"/>
  </sheetPr>
  <dimension ref="B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1" min="3" style="0" width="11"/>
  </cols>
  <sheetData>
    <row r="1" customFormat="false" ht="24.45" hidden="false" customHeight="false" outlineLevel="0" collapsed="false">
      <c r="B1" s="17" t="s">
        <v>379</v>
      </c>
    </row>
    <row r="2" customFormat="false" ht="15" hidden="false" customHeight="false" outlineLevel="0" collapsed="false">
      <c r="B2" s="16" t="s">
        <v>380</v>
      </c>
    </row>
    <row r="4" customFormat="false" ht="15" hidden="false" customHeight="false" outlineLevel="0" collapsed="false">
      <c r="B4" s="29" t="s">
        <v>381</v>
      </c>
      <c r="C4" s="30"/>
      <c r="D4" s="30"/>
      <c r="E4" s="30"/>
      <c r="F4" s="30"/>
      <c r="G4" s="30"/>
      <c r="H4" s="30"/>
      <c r="I4" s="30"/>
      <c r="J4" s="30"/>
    </row>
    <row r="5" customFormat="false" ht="15" hidden="false" customHeight="false" outlineLevel="0" collapsed="false">
      <c r="C5" s="85" t="s">
        <v>102</v>
      </c>
      <c r="D5" s="85" t="s">
        <v>103</v>
      </c>
      <c r="E5" s="85" t="s">
        <v>104</v>
      </c>
      <c r="F5" s="85" t="s">
        <v>258</v>
      </c>
      <c r="G5" s="85" t="s">
        <v>259</v>
      </c>
      <c r="H5" s="85" t="s">
        <v>260</v>
      </c>
      <c r="I5" s="85" t="s">
        <v>261</v>
      </c>
      <c r="J5" s="85" t="s">
        <v>262</v>
      </c>
    </row>
    <row r="6" customFormat="false" ht="15" hidden="false" customHeight="false" outlineLevel="0" collapsed="false">
      <c r="B6" s="22" t="s">
        <v>45</v>
      </c>
      <c r="C6" s="56" t="n">
        <f aca="false">Historicals!C11</f>
        <v>60441</v>
      </c>
      <c r="D6" s="56" t="n">
        <f aca="false">Historicals!D11</f>
        <v>62395</v>
      </c>
      <c r="E6" s="56" t="n">
        <f aca="false">Historicals!E11</f>
        <v>63356</v>
      </c>
      <c r="F6" s="56" t="n">
        <f aca="false">'Operating Model'!$D$25</f>
        <v>65539.37895</v>
      </c>
      <c r="G6" s="56" t="n">
        <f aca="false">'Operating Model'!$E$25</f>
        <v>68271.5058105</v>
      </c>
      <c r="H6" s="56" t="n">
        <f aca="false">'Operating Model'!$F$25</f>
        <v>70927.8128602475</v>
      </c>
      <c r="I6" s="56" t="n">
        <f aca="false">'Operating Model'!$G$25</f>
        <v>73410.2863103562</v>
      </c>
      <c r="J6" s="56" t="n">
        <f aca="false">'Operating Model'!$H$25</f>
        <v>75692.4581327752</v>
      </c>
    </row>
    <row r="7" customFormat="false" ht="15" hidden="false" customHeight="false" outlineLevel="0" collapsed="false">
      <c r="B7" s="22" t="s">
        <v>272</v>
      </c>
      <c r="C7" s="56" t="n">
        <f aca="false">Historicals!C56</f>
        <v>21988</v>
      </c>
      <c r="D7" s="56" t="n">
        <f aca="false">Historicals!D56</f>
        <v>23504</v>
      </c>
      <c r="E7" s="56" t="n">
        <f aca="false">Historicals!E56</f>
        <v>24543</v>
      </c>
      <c r="F7" s="56" t="n">
        <f aca="false">'Operating Model'!$D$29</f>
        <v>25691.4365484</v>
      </c>
      <c r="G7" s="56" t="n">
        <f aca="false">'Operating Model'!$E$29</f>
        <v>27035.516300958</v>
      </c>
      <c r="H7" s="56" t="n">
        <f aca="false">'Operating Model'!$F$29</f>
        <v>28371.125144099</v>
      </c>
      <c r="I7" s="56" t="n">
        <f aca="false">'Operating Model'!$G$29</f>
        <v>29510.9350967632</v>
      </c>
      <c r="J7" s="56" t="n">
        <f aca="false">'Operating Model'!$H$29</f>
        <v>30579.7530856412</v>
      </c>
    </row>
    <row r="8" customFormat="false" ht="15" hidden="false" customHeight="false" outlineLevel="0" collapsed="false">
      <c r="B8" s="22" t="s">
        <v>382</v>
      </c>
      <c r="C8" s="42" t="n">
        <f aca="false">C7/C6</f>
        <v>0.363792789662646</v>
      </c>
      <c r="D8" s="42" t="n">
        <f aca="false">D7/D6</f>
        <v>0.376696850709191</v>
      </c>
      <c r="E8" s="42" t="n">
        <f aca="false">E7/E6</f>
        <v>0.387382410505714</v>
      </c>
      <c r="F8" s="42" t="n">
        <f aca="false">F7/F6</f>
        <v>0.392</v>
      </c>
      <c r="G8" s="42" t="n">
        <f aca="false">G7/G6</f>
        <v>0.396</v>
      </c>
      <c r="H8" s="42" t="n">
        <f aca="false">H7/H6</f>
        <v>0.4</v>
      </c>
      <c r="I8" s="42" t="n">
        <f aca="false">I7/I6</f>
        <v>0.402</v>
      </c>
      <c r="J8" s="42" t="n">
        <f aca="false">J7/J6</f>
        <v>0.404</v>
      </c>
    </row>
    <row r="10" customFormat="false" ht="15" hidden="false" customHeight="false" outlineLevel="0" collapsed="false">
      <c r="B10" s="29" t="s">
        <v>383</v>
      </c>
      <c r="C10" s="30"/>
      <c r="D10" s="30"/>
      <c r="E10" s="30"/>
      <c r="F10" s="30"/>
      <c r="G10" s="30"/>
      <c r="H10" s="30"/>
      <c r="I10" s="30"/>
      <c r="J10" s="30"/>
    </row>
    <row r="11" customFormat="false" ht="15" hidden="false" customHeight="false" outlineLevel="0" collapsed="false">
      <c r="B11" s="18" t="s">
        <v>384</v>
      </c>
      <c r="C11" s="18" t="s">
        <v>17</v>
      </c>
      <c r="D11" s="18" t="s">
        <v>385</v>
      </c>
      <c r="E11" s="18" t="s">
        <v>40</v>
      </c>
      <c r="F11" s="18" t="s">
        <v>386</v>
      </c>
      <c r="G11" s="18" t="s">
        <v>387</v>
      </c>
      <c r="H11" s="18" t="s">
        <v>388</v>
      </c>
    </row>
    <row r="12" customFormat="false" ht="15" hidden="false" customHeight="false" outlineLevel="0" collapsed="false">
      <c r="B12" s="22" t="s">
        <v>389</v>
      </c>
      <c r="C12" s="56" t="n">
        <f aca="false">'Operating Model'!$D$29</f>
        <v>25691.4365484</v>
      </c>
      <c r="D12" s="46" t="n">
        <f aca="false">C12</f>
        <v>25691.4365484</v>
      </c>
      <c r="E12" s="46" t="n">
        <f aca="false">0</f>
        <v>0</v>
      </c>
      <c r="F12" s="46" t="n">
        <f aca="false">0</f>
        <v>0</v>
      </c>
      <c r="G12" s="46" t="n">
        <f aca="false">0</f>
        <v>0</v>
      </c>
      <c r="H12" s="46" t="n">
        <f aca="false">C12</f>
        <v>25691.4365484</v>
      </c>
    </row>
    <row r="13" customFormat="false" ht="15" hidden="false" customHeight="false" outlineLevel="0" collapsed="false">
      <c r="B13" s="22" t="s">
        <v>390</v>
      </c>
      <c r="C13" s="56" t="n">
        <f aca="false">'Operating Model'!$D$34</f>
        <v>-4221.3913981695</v>
      </c>
      <c r="D13" s="46" t="n">
        <f aca="false">D12+C13</f>
        <v>21470.0451502305</v>
      </c>
      <c r="E13" s="46" t="n">
        <f aca="false">MIN(D12,D13)</f>
        <v>21470.0451502305</v>
      </c>
      <c r="F13" s="46" t="n">
        <f aca="false">MAX(C13,0)</f>
        <v>0</v>
      </c>
      <c r="G13" s="46" t="n">
        <f aca="false">MAX(-C13,0)</f>
        <v>4221.3913981695</v>
      </c>
      <c r="H13" s="46" t="n">
        <f aca="false">0</f>
        <v>0</v>
      </c>
    </row>
    <row r="14" customFormat="false" ht="15" hidden="false" customHeight="false" outlineLevel="0" collapsed="false">
      <c r="B14" s="22" t="s">
        <v>391</v>
      </c>
      <c r="C14" s="56" t="n">
        <f aca="false">'Operating Model'!$D$48</f>
        <v>-5570.84721075</v>
      </c>
      <c r="D14" s="46" t="n">
        <f aca="false">D13+C14</f>
        <v>15899.1979394805</v>
      </c>
      <c r="E14" s="46" t="n">
        <f aca="false">MIN(D13,D14)</f>
        <v>15899.1979394805</v>
      </c>
      <c r="F14" s="46" t="n">
        <f aca="false">MAX(C14,0)</f>
        <v>0</v>
      </c>
      <c r="G14" s="46" t="n">
        <f aca="false">MAX(-C14,0)</f>
        <v>5570.84721075</v>
      </c>
      <c r="H14" s="46" t="n">
        <f aca="false">0</f>
        <v>0</v>
      </c>
    </row>
    <row r="15" customFormat="false" ht="15" hidden="false" customHeight="false" outlineLevel="0" collapsed="false">
      <c r="B15" s="22" t="s">
        <v>392</v>
      </c>
      <c r="C15" s="56" t="n">
        <f aca="false">'Operating Model'!$D$49</f>
        <v>-745.807518945203</v>
      </c>
      <c r="D15" s="46" t="n">
        <f aca="false">D14+C15</f>
        <v>15153.3904205353</v>
      </c>
      <c r="E15" s="46" t="n">
        <f aca="false">MIN(D14,D15)</f>
        <v>15153.3904205353</v>
      </c>
      <c r="F15" s="46" t="n">
        <f aca="false">MAX(C15,0)</f>
        <v>0</v>
      </c>
      <c r="G15" s="46" t="n">
        <f aca="false">MAX(-C15,0)</f>
        <v>745.807518945203</v>
      </c>
      <c r="H15" s="46" t="n">
        <f aca="false">0</f>
        <v>0</v>
      </c>
    </row>
    <row r="16" customFormat="false" ht="15" hidden="false" customHeight="false" outlineLevel="0" collapsed="false">
      <c r="B16" s="22" t="s">
        <v>393</v>
      </c>
      <c r="C16" s="56" t="n">
        <f aca="false">'Operating Model'!$D$50</f>
        <v>15153.3904205353</v>
      </c>
      <c r="D16" s="46" t="n">
        <f aca="false">C16</f>
        <v>15153.3904205353</v>
      </c>
      <c r="E16" s="46" t="n">
        <f aca="false">0</f>
        <v>0</v>
      </c>
      <c r="F16" s="46" t="n">
        <f aca="false">0</f>
        <v>0</v>
      </c>
      <c r="G16" s="46" t="n">
        <f aca="false">0</f>
        <v>0</v>
      </c>
      <c r="H16" s="46" t="n">
        <f aca="false">C16</f>
        <v>15153.3904205353</v>
      </c>
    </row>
    <row r="17" customFormat="false" ht="15" hidden="false" customHeight="false" outlineLevel="0" collapsed="false">
      <c r="B17" s="86" t="s">
        <v>394</v>
      </c>
      <c r="C17" s="46" t="n">
        <f aca="false">D15-C16</f>
        <v>0</v>
      </c>
    </row>
    <row r="19" customFormat="false" ht="15" hidden="false" customHeight="false" outlineLevel="0" collapsed="false">
      <c r="B19" s="29" t="s">
        <v>395</v>
      </c>
      <c r="C19" s="30"/>
      <c r="D19" s="30"/>
      <c r="E19" s="30"/>
      <c r="F19" s="30"/>
      <c r="G19" s="30"/>
      <c r="H19" s="30"/>
      <c r="I19" s="30"/>
      <c r="J19" s="30"/>
    </row>
    <row r="20" customFormat="false" ht="15" hidden="false" customHeight="false" outlineLevel="0" collapsed="false">
      <c r="B20" s="18" t="s">
        <v>396</v>
      </c>
      <c r="C20" s="18" t="s">
        <v>397</v>
      </c>
      <c r="D20" s="18" t="s">
        <v>398</v>
      </c>
      <c r="E20" s="18" t="s">
        <v>399</v>
      </c>
    </row>
    <row r="21" customFormat="false" ht="15" hidden="false" customHeight="false" outlineLevel="0" collapsed="false">
      <c r="B21" s="22" t="s">
        <v>400</v>
      </c>
      <c r="C21" s="61" t="n">
        <f aca="false">Assumptions!$D$9</f>
        <v>254</v>
      </c>
      <c r="D21" s="61" t="n">
        <f aca="false">Assumptions!$D$10</f>
        <v>375.8</v>
      </c>
      <c r="E21" s="45" t="n">
        <f aca="false">D21-C21</f>
        <v>121.8</v>
      </c>
    </row>
    <row r="22" customFormat="false" ht="15" hidden="false" customHeight="false" outlineLevel="0" collapsed="false">
      <c r="B22" s="22" t="s">
        <v>401</v>
      </c>
      <c r="C22" s="61" t="n">
        <f aca="false">(Assumptions!$D$12*'Operating Model'!$D$29+DCF!$C$43)/DCF!$C$45</f>
        <v>306.112184007721</v>
      </c>
      <c r="D22" s="61" t="n">
        <f aca="false">(Assumptions!$D$13*'Operating Model'!$D$29+DCF!$C$43)/DCF!$C$45</f>
        <v>402.095134998008</v>
      </c>
      <c r="E22" s="45" t="n">
        <f aca="false">D22-C22</f>
        <v>95.9829509902864</v>
      </c>
    </row>
    <row r="23" customFormat="false" ht="15" hidden="false" customHeight="false" outlineLevel="0" collapsed="false">
      <c r="B23" s="22" t="s">
        <v>402</v>
      </c>
      <c r="C23" s="61" t="n">
        <f aca="false">MIN(Sensitivity!$F$23:$H$25)</f>
        <v>384.153229517383</v>
      </c>
      <c r="D23" s="61" t="n">
        <f aca="false">MAX(Sensitivity!$F$23:$H$25)</f>
        <v>421.371963452343</v>
      </c>
      <c r="E23" s="45" t="n">
        <f aca="false">D23-C23</f>
        <v>37.21873393496</v>
      </c>
    </row>
    <row r="24" customFormat="false" ht="15" hidden="false" customHeight="false" outlineLevel="0" collapsed="false">
      <c r="B24" s="22" t="s">
        <v>403</v>
      </c>
      <c r="C24" s="61" t="n">
        <f aca="false">MIN(Sensitivity!$F$10:$H$12)</f>
        <v>399.466178282573</v>
      </c>
      <c r="D24" s="61" t="n">
        <f aca="false">MAX(Sensitivity!$F$10:$H$12)</f>
        <v>491.470310364592</v>
      </c>
      <c r="E24" s="45" t="n">
        <f aca="false">D24-C24</f>
        <v>92.0041320820193</v>
      </c>
    </row>
    <row r="25" customFormat="false" ht="15" hidden="false" customHeight="false" outlineLevel="0" collapsed="false">
      <c r="B25" s="18" t="s">
        <v>333</v>
      </c>
      <c r="C25" s="68" t="n">
        <f aca="false">Assumptions!$D$8</f>
        <v>357</v>
      </c>
    </row>
    <row r="27" customFormat="false" ht="15" hidden="false" customHeight="false" outlineLevel="0" collapsed="false">
      <c r="B27" s="16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2026-10-04T21:33:53Z</dcterms:created>
  <dc:creator>openpyxl</dc:creator>
  <dc:description/>
  <dc:language>en-US</dc:language>
  <cp:lastModifiedBy/>
  <dcterms:modified xsi:type="dcterms:W3CDTF">2026-10-04T21:33:55Z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